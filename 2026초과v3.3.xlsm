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<sst xmlns="http://schemas.openxmlformats.org/spreadsheetml/2006/main" count="669" uniqueCount="97">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</sst>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3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6B7280"/>
      </font>
      <fill>
        <patternFill patternType="solid">
          <fgColor rgb="FFE0E0E0"/>
          <bgColor indexed="64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A10" s="61" t="inlineStr">
        <is>
          <t>현업여부</t>
        </is>
      </c>
      <c r="B10" s="15" t="inlineStr">
        <is>
          <t>아니오</t>
        </is>
      </c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2">
    <dataValidation type="list" allowBlank="1" showInputMessage="1" showErrorMessage="1" sqref="I16 F16 B6" xr:uid="{F109FF6E-09C0-4365-A0B9-861B29189246}">
      <formula1>"예,아니오"</formula1>
    </dataValidation>
    <dataValidation type="list" allowBlank="0" showErrorMessage="1" errorTitle="선택 오류" error="예 또는 아니오를 선택하세요." sqref="B10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1"/>
      <c r="N4"/>
      <c r="O4"/>
      <c r="P4"/>
      <c r="Q4"/>
      <c r="R4"/>
      <c r="S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/>
      <c r="N5"/>
      <c r="O5"/>
      <c r="P5"/>
      <c r="Q5"/>
      <c r="R5"/>
      <c r="S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I6" s="6"/>
      <c r="M6"/>
      <c r="N6"/>
      <c r="O6"/>
      <c r="P6"/>
      <c r="Q6"/>
      <c r="R6"/>
      <c r="S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M7"/>
      <c r="N7"/>
      <c r="O7"/>
      <c r="P7"/>
      <c r="Q7"/>
      <c r="R7"/>
      <c r="S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/>
      <c r="N8"/>
      <c r="O8"/>
      <c r="P8"/>
      <c r="Q8"/>
      <c r="R8"/>
      <c r="S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/>
      <c r="N9"/>
      <c r="O9"/>
      <c r="P9"/>
      <c r="Q9"/>
      <c r="R9"/>
      <c r="S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I10" s="6"/>
      <c r="M10"/>
      <c r="N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I11" s="6"/>
      <c r="M11"/>
      <c r="N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/>
      <c r="N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M13"/>
      <c r="N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/>
      <c r="N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/>
      <c r="N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/>
      <c r="N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13">
        <f>IF(설정!$B$10="예",MAX(0,VALUE(설정!$B$3))/24,MIN(MAX(0,VALUE(설정!$B$3))/24,MAX(0,MAX(0,VALUE(설정!$B$8))/24-0)))</f>
        <v/>
      </c>
      <c r="N17"/>
      <c r="L17" s="11" t="inlineStr">
        <is>
          <t>월상한시간</t>
        </is>
      </c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M18" s="13">
        <f>MIN(MAX(0,F33),M17)</f>
        <v/>
      </c>
      <c r="N18"/>
      <c r="L18" s="11" t="inlineStr">
        <is>
          <t>월인정시간</t>
        </is>
      </c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</row>
    <row r="33" spans="1:8">
      <c r="A33" s="6"/>
      <c r="B33" s="55"/>
      <c r="C33" s="5"/>
      <c r="D33" s="11" t="s">
        <v>5</v>
      </c>
      <c r="F33" s="13">
        <f>SUM(F2:F32)</f>
        <v>0.54305555555555551</v>
      </c>
      <c r="G33" s="6" t="s">
        <v>7</v>
      </c>
      <c r="H33" s="14">
        <f>MIN(SUM(G2:H32),MIN(MAX(0,VALUE(설정!$B$7)),MAX(0,MAX(0,VALUE(설정!$B$9))-0)))</f>
        <v/>
      </c>
      <c r="I33"/>
    </row>
    <row r="34" spans="1:8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MAX(0,MIN(MAX(0,VALUE(설정!$B$7)),MAX(0,MAX(0,VALUE(설정!$B$9))-0))-H33)</f>
        <v/>
      </c>
      <c r="I34"/>
    </row>
    <row r="35" spans="1:8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MAX(0,SUM(G2:H32)-MIN(MAX(0,VALUE(설정!$B$7)),MAX(0,MAX(0,VALUE(설정!$B$9))-0)))</f>
        <v/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M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M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M10" s="23"/>
      <c r="N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M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M13" s="23"/>
      <c r="N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 s="23"/>
      <c r="N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13">
        <f>IF(설정!$B$10="예",MAX(0,VALUE(설정!$B$3))/24,MIN(MAX(0,VALUE(설정!$B$3))/24,MAX(0,MAX(0,VALUE(설정!$B$8))/24-SUM('1월'!$M$18))))</f>
        <v/>
      </c>
      <c r="L17" s="11" t="inlineStr">
        <is>
          <t>월상한시간</t>
        </is>
      </c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 t="s">
        <v>65</v>
      </c>
      <c r="M18" s="13">
        <f>MIN(MAX(0,F31),M17)</f>
        <v/>
      </c>
      <c r="L18" s="11" t="inlineStr">
        <is>
          <t>월인정시간</t>
        </is>
      </c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M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M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M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M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M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M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M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M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M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M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30"/>
      <c r="M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5"/>
      <c r="M30" s="23"/>
    </row>
    <row r="31" spans="1:12">
      <c r="A31" s="6"/>
      <c r="B31" s="55"/>
      <c r="C31" s="5"/>
      <c r="D31" s="11" t="s">
        <v>5</v>
      </c>
      <c r="F31" s="13">
        <f>SUM(F2:F30)</f>
        <v>0</v>
      </c>
      <c r="G31" s="6" t="s">
        <v>7</v>
      </c>
      <c r="H31" s="14">
        <f>MIN(SUM(G2:H30),MIN(MAX(0,VALUE(설정!$B$7)),MAX(0,MAX(0,VALUE(설정!$B$9))-SUM('1월'!$H$33))))</f>
        <v/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MAX(0,$M$17-F31)</f>
        <v/>
      </c>
      <c r="G32" s="1" t="s">
        <v>6</v>
      </c>
      <c r="H32" s="7">
        <f>MAX(0,MIN(MAX(0,VALUE(설정!$B$7)),MAX(0,MAX(0,VALUE(설정!$B$9))-SUM('1월'!$H$33)))-H31)</f>
        <v/>
      </c>
      <c r="I32"/>
      <c r="L32" s="6"/>
      <c r="M32" s="23"/>
    </row>
    <row r="33" spans="4:8">
      <c r="D33" s="2" t="s">
        <v>8</v>
      </c>
      <c r="F33" s="12">
        <f>MAX(0,F31-$M$17)</f>
        <v/>
      </c>
      <c r="G33" s="2" t="s">
        <v>8</v>
      </c>
      <c r="H33" s="18">
        <f>MAX(0,SUM(G2:H30)-MIN(MAX(0,VALUE(설정!$B$7)),MAX(0,MAX(0,VALUE(설정!$B$9))-SUM('1월'!$H$33))))</f>
        <v/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IF(설정!$B$10="예","",'1월'!$M$18)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IF(설정!$B$10="예","",'2월'!$M$18)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82</v>
      </c>
      <c r="M4" s="70">
        <f>IF(설정!$B$10="예","",'3월'!$M$18)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5"/>
      <c r="J10" s="33"/>
      <c r="K10" s="35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2월</t>
        </is>
      </c>
      <c r="M11" s="15">
        <f>'2월'!$H$31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IF(설정!$B$10="예",MAX(0,VALUE(설정!$B$3))/24,MIN(MAX(0,VALUE(설정!$B$3))/24,MAX(0,MAX(0,VALUE(설정!$B$8))/24-SUM('1월'!$M$18,'2월'!$M$18))))</f>
        <v/>
      </c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45"/>
      <c r="J23" s="33"/>
      <c r="K23" s="35"/>
      <c r="L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5"/>
      <c r="J30" s="33"/>
      <c r="K30" s="35"/>
      <c r="L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MIN(SUM(G2:H32),MIN(MAX(0,VALUE(설정!$B$7)),MAX(0,MAX(0,VALUE(설정!$B$9))-SUM('1월'!$H$33,'2월'!$H$31))))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MAX(0,MIN(MAX(0,VALUE(설정!$B$7)),MAX(0,MAX(0,VALUE(설정!$B$9))-SUM('1월'!$H$33,'2월'!$H$31)))-H33)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MAX(0,SUM(G2:H32)-MIN(MAX(0,VALUE(설정!$B$7)),MAX(0,MAX(0,VALUE(설정!$B$9))-SUM('1월'!$H$33,'2월'!$H$31))))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74"/>
      <c r="J4" s="33"/>
      <c r="K4" s="35"/>
      <c r="L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74"/>
      <c r="J5" s="33"/>
      <c r="K5" s="35"/>
      <c r="L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74"/>
      <c r="J6" s="33"/>
      <c r="K6" s="35"/>
      <c r="L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74"/>
      <c r="J7" s="33"/>
      <c r="K7" s="35"/>
      <c r="L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74"/>
      <c r="J8" s="33"/>
      <c r="K8" s="35"/>
      <c r="L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74"/>
      <c r="J9" s="33"/>
      <c r="K9" s="35"/>
      <c r="L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74"/>
      <c r="J10" s="33"/>
      <c r="K10" s="35"/>
      <c r="L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74"/>
      <c r="J11" s="33"/>
      <c r="K11" s="35"/>
      <c r="L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74"/>
      <c r="J12" s="33"/>
      <c r="K12" s="35"/>
      <c r="L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74"/>
      <c r="J13" s="33"/>
      <c r="K13" s="35"/>
      <c r="L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74"/>
      <c r="J14" s="33"/>
      <c r="K14" s="35"/>
      <c r="L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74"/>
      <c r="J15" s="33"/>
      <c r="K15" s="35"/>
      <c r="L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74"/>
      <c r="J16" s="33"/>
      <c r="K16" s="35"/>
      <c r="L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74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74"/>
      <c r="J18" s="33"/>
      <c r="K18" s="35"/>
      <c r="L18" s="11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74"/>
      <c r="J19" s="33"/>
      <c r="K19" s="35"/>
      <c r="L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74"/>
      <c r="J20" s="33"/>
      <c r="K20" s="35"/>
      <c r="L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74"/>
      <c r="J21" s="33"/>
      <c r="K21" s="35"/>
      <c r="L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74"/>
      <c r="J22" s="33"/>
      <c r="K22" s="35"/>
      <c r="L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74"/>
      <c r="J23" s="33"/>
      <c r="K23" s="35"/>
      <c r="L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74"/>
      <c r="J24" s="33"/>
      <c r="K24" s="35"/>
      <c r="L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74"/>
      <c r="J25" s="33"/>
      <c r="K25" s="35"/>
      <c r="L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74"/>
      <c r="J26" s="33"/>
      <c r="K26" s="35"/>
      <c r="L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74"/>
      <c r="J27" s="33"/>
      <c r="K27" s="35"/>
      <c r="L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74"/>
      <c r="J28" s="33"/>
      <c r="K28" s="35"/>
      <c r="L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MIN(SUM(G2:H31),MIN(MAX(0,VALUE(설정!$B$7)),MAX(0,MAX(0,VALUE(설정!$B$9))-0)))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MAX(0,MIN(MAX(0,VALUE(설정!$B$7)),MAX(0,MAX(0,VALUE(설정!$B$9))-0))-H32)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MAX(0,SUM(G2:H31)-MIN(MAX(0,VALUE(설정!$B$7)),MAX(0,MAX(0,VALUE(설정!$B$9))-0)))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2"/>
      <c r="J4" s="33"/>
      <c r="K4" s="35"/>
      <c r="L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5"/>
      <c r="J5" s="33"/>
      <c r="K5" s="35"/>
      <c r="L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42" t="s">
        <v>67</v>
      </c>
      <c r="J6" s="33"/>
      <c r="K6" s="35"/>
      <c r="L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2"/>
      <c r="J7" s="33"/>
      <c r="K7" s="35"/>
      <c r="L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IF(설정!$B$10="예",MAX(0,VALUE(설정!$B$3))/24,MIN(MAX(0,VALUE(설정!$B$3))/24,MAX(0,MAX(0,VALUE(설정!$B$8))/24-SUM('4월'!$M$18))))</f>
        <v/>
      </c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66</v>
      </c>
      <c r="J26" s="33"/>
      <c r="K26" s="35"/>
      <c r="L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MIN(SUM(G2:H32),MIN(MAX(0,VALUE(설정!$B$7)),MAX(0,MAX(0,VALUE(설정!$B$9))-SUM('4월'!$H$32))))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MAX(0,MIN(MAX(0,VALUE(설정!$B$7)),MAX(0,MAX(0,VALUE(설정!$B$9))-SUM('4월'!$H$32)))-H33)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MAX(0,SUM(G2:H32)-MIN(MAX(0,VALUE(설정!$B$7)),MAX(0,MAX(0,VALUE(설정!$B$9))-SUM('4월'!$H$32))))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IF(설정!$B$10="예","",'4월'!$M$18)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IF(설정!$B$10="예","",'5월'!$M$18)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 t="s">
        <v>68</v>
      </c>
      <c r="J4" s="37"/>
      <c r="K4" s="35"/>
      <c r="L4" s="63" t="s">
        <v>88</v>
      </c>
      <c r="M4" s="70">
        <f>IF(설정!$B$10="예","",'6월'!$M$18)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2"/>
      <c r="J8" s="33"/>
      <c r="K8" s="35"/>
      <c r="L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4월</t>
        </is>
      </c>
      <c r="M10" s="15">
        <f>'4월'!$H$32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6월</t>
        </is>
      </c>
      <c r="M12" s="15">
        <f>'6월'!$H$32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2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IF(설정!$B$10="예",MAX(0,VALUE(설정!$B$3))/24,MIN(MAX(0,VALUE(설정!$B$3))/24,MAX(0,MAX(0,VALUE(설정!$B$8))/24-SUM('4월'!$M$18,'5월'!$M$18))))</f>
        <v/>
      </c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33"/>
      <c r="K19" s="35"/>
      <c r="L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2"/>
      <c r="J22" s="33"/>
      <c r="K22" s="35"/>
      <c r="L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2"/>
      <c r="J30" s="33"/>
      <c r="K30" s="35"/>
      <c r="L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MIN(SUM(G2:H31),MIN(MAX(0,VALUE(설정!$B$7)),MAX(0,MAX(0,VALUE(설정!$B$9))-SUM('4월'!$H$32,'5월'!$H$33))))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MAX(0,MIN(MAX(0,VALUE(설정!$B$7)),MAX(0,MAX(0,VALUE(설정!$B$9))-SUM('4월'!$H$32,'5월'!$H$33)))-H32)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MAX(0,SUM(G2:H31)-MIN(MAX(0,VALUE(설정!$B$7)),MAX(0,MAX(0,VALUE(설정!$B$9))-SUM('4월'!$H$32,'5월'!$H$33))))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3"/>
      <c r="J7" s="33"/>
      <c r="K7" s="35"/>
      <c r="L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  <c r="N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43"/>
      <c r="J27" s="33"/>
      <c r="K27" s="35"/>
      <c r="L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43"/>
      <c r="J28" s="33"/>
      <c r="K28" s="35"/>
      <c r="L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MIN(SUM(G2:H32),MIN(MAX(0,VALUE(설정!$B$7)),MAX(0,MAX(0,VALUE(설정!$B$9))-0)))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MAX(0,MIN(MAX(0,VALUE(설정!$B$7)),MAX(0,MAX(0,VALUE(설정!$B$9))-0))-H33)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MAX(0,SUM(G2:H32)-MIN(MAX(0,VALUE(설정!$B$7)),MAX(0,MAX(0,VALUE(설정!$B$9))-0)))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45"/>
      <c r="J11" s="33"/>
      <c r="K11" s="35"/>
      <c r="L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  <c r="P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45"/>
      <c r="J16" s="33"/>
      <c r="K16" s="35"/>
      <c r="L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5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IF(설정!$B$10="예",MAX(0,VALUE(설정!$B$3))/24,MIN(MAX(0,VALUE(설정!$B$3))/24,MAX(0,MAX(0,VALUE(설정!$B$8))/24-SUM('7월'!$M$18))))</f>
        <v/>
      </c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5" t="s">
        <v>66</v>
      </c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45"/>
      <c r="J25" s="33"/>
      <c r="K25" s="35"/>
      <c r="L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33"/>
      <c r="K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MIN(SUM(G2:H32),MIN(MAX(0,VALUE(설정!$B$7)),MAX(0,MAX(0,VALUE(설정!$B$9))-SUM('7월'!$H$33))))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MAX(0,MIN(MAX(0,VALUE(설정!$B$7)),MAX(0,MAX(0,VALUE(설정!$B$9))-SUM('7월'!$H$33)))-H33)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MAX(0,SUM(G2:H32)-MIN(MAX(0,VALUE(설정!$B$7)),MAX(0,MAX(0,VALUE(설정!$B$9))-SUM('7월'!$H$33))))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IF(설정!$B$10="예","",'7월'!$M$18)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IF(설정!$B$10="예","",'8월'!$M$18)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91</v>
      </c>
      <c r="M4" s="70">
        <f>IF(설정!$B$10="예","",'9월'!$M$18)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7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7"/>
      <c r="J8" s="33"/>
      <c r="K8" s="35"/>
      <c r="L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8"/>
      <c r="J10" s="33"/>
      <c r="K10" s="35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9월</t>
        </is>
      </c>
      <c r="M12" s="15">
        <f>'9월'!$H$32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47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7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IF(설정!$B$10="예",MAX(0,VALUE(설정!$B$3))/24,MIN(MAX(0,VALUE(설정!$B$3))/24,MAX(0,MAX(0,VALUE(설정!$B$8))/24-SUM('7월'!$M$18,'8월'!$M$18))))</f>
        <v/>
      </c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6"/>
      <c r="J18" s="33"/>
      <c r="K18" s="35"/>
      <c r="L18" s="26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6"/>
      <c r="J19" s="33"/>
      <c r="K19" s="35"/>
      <c r="L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6"/>
      <c r="J22" s="33"/>
      <c r="K22" s="35"/>
      <c r="L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69</v>
      </c>
      <c r="J26" s="33"/>
      <c r="K26" s="35"/>
      <c r="L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MIN(SUM(G2:H31),MIN(MAX(0,VALUE(설정!$B$7)),MAX(0,MAX(0,VALUE(설정!$B$9))-SUM('7월'!$H$33,'8월'!$H$33))))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MAX(0,MIN(MAX(0,VALUE(설정!$B$7)),MAX(0,MAX(0,VALUE(설정!$B$9))-SUM('7월'!$H$33,'8월'!$H$33)))-H32)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MAX(0,SUM(G2:H31)-MIN(MAX(0,VALUE(설정!$B$7)),MAX(0,MAX(0,VALUE(설정!$B$9))-SUM('7월'!$H$33,'8월'!$H$33))))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9"/>
      <c r="J4" s="33"/>
      <c r="K4" s="35"/>
      <c r="L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9"/>
      <c r="J5" s="33"/>
      <c r="K5" s="35"/>
      <c r="L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 t="s">
        <v>66</v>
      </c>
      <c r="J6" s="33"/>
      <c r="K6" s="35"/>
      <c r="L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9"/>
      <c r="J8" s="33"/>
      <c r="K8" s="35"/>
      <c r="L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49"/>
      <c r="J9" s="33"/>
      <c r="K9" s="35"/>
      <c r="L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9" t="s">
        <v>70</v>
      </c>
      <c r="J10" s="33"/>
      <c r="K10" s="35"/>
      <c r="L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9"/>
      <c r="J19" s="33"/>
      <c r="K19" s="35"/>
      <c r="L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49"/>
      <c r="J20" s="33"/>
      <c r="K20" s="35"/>
      <c r="L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MIN(SUM(G2:H32),MIN(MAX(0,VALUE(설정!$B$7)),MAX(0,MAX(0,VALUE(설정!$B$9))-0)))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MAX(0,MIN(MAX(0,VALUE(설정!$B$7)),MAX(0,MAX(0,VALUE(설정!$B$9))-0))-H33)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MAX(0,SUM(G2:H32)-MIN(MAX(0,VALUE(설정!$B$7)),MAX(0,MAX(0,VALUE(설정!$B$9))-0)))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50"/>
      <c r="J16" s="33"/>
      <c r="K16" s="35"/>
      <c r="L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50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IF(설정!$B$10="예",MAX(0,VALUE(설정!$B$3))/24,MIN(MAX(0,VALUE(설정!$B$3))/24,MAX(0,MAX(0,VALUE(설정!$B$8))/24-SUM('10월'!$M$18))))</f>
        <v/>
      </c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51"/>
      <c r="J23" s="33"/>
      <c r="K23" s="35"/>
      <c r="L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50"/>
      <c r="J24" s="33"/>
      <c r="K24" s="35"/>
      <c r="L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0"/>
      <c r="J30" s="33"/>
      <c r="K30" s="35"/>
      <c r="L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0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MIN(SUM(G2:H31),MIN(MAX(0,VALUE(설정!$B$7)),MAX(0,MAX(0,VALUE(설정!$B$9))-SUM('10월'!$H$33))))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MAX(0,MIN(MAX(0,VALUE(설정!$B$7)),MAX(0,MAX(0,VALUE(설정!$B$9))-SUM('10월'!$H$33)))-H32)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MAX(0,SUM(G2:H31)-MIN(MAX(0,VALUE(설정!$B$7)),MAX(0,MAX(0,VALUE(설정!$B$9))-SUM('10월'!$H$33))))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IF(설정!$B$10="예","",'10월'!$M$18)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IF(설정!$B$10="예","",'11월'!$M$18)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94</v>
      </c>
      <c r="M4" s="70">
        <f>IF(설정!$B$10="예","",'12월'!$M$18)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11월</t>
        </is>
      </c>
      <c r="M11" s="15">
        <f>'11월'!$H$32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IF(설정!$B$10="예",MAX(0,VALUE(설정!$B$3))/24,MIN(MAX(0,VALUE(설정!$B$3))/24,MAX(0,MAX(0,VALUE(설정!$B$8))/24-SUM('10월'!$M$18,'11월'!$M$18))))</f>
        <v/>
      </c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71</v>
      </c>
      <c r="J26" s="33"/>
      <c r="K26" s="35"/>
      <c r="L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MIN(SUM(G2:H32),MIN(MAX(0,VALUE(설정!$B$7)),MAX(0,MAX(0,VALUE(설정!$B$9))-SUM('10월'!$H$33,'11월'!$H$32))))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MAX(0,MIN(MAX(0,VALUE(설정!$B$7)),MAX(0,MAX(0,VALUE(설정!$B$9))-SUM('10월'!$H$33,'11월'!$H$32)))-H33)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MAX(0,SUM(G2:H32)-MIN(MAX(0,VALUE(설정!$B$7)),MAX(0,MAX(0,VALUE(설정!$B$9))-SUM('10월'!$H$33,'11월'!$H$32))))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J1:J1048576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