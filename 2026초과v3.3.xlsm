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54822C0D-1918-40E8-BA43-56A5F412D61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'1월'!$A$1:$N$36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<sst xmlns="http://schemas.openxmlformats.org/spreadsheetml/2006/main" count="669" uniqueCount="97">
  <si>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</si>
  <si>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</si>
  <si>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</si>
  <si>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</si>
  <si>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</si>
  <si>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</si>
  <si>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</si>
  <si>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</si>
  <si>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</si>
  <si>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</si>
  <si>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</si>
  <si>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</si>
  <si>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</si>
  <si>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</si>
  <si>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</si>
  <si>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</si>
  <si>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</si>
  <si>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</si>
  <si>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</si>
  <si>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</si>
  <si>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</si>
  <si>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</si>
  <si>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</si>
  <si>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</si>
  <si>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</si>
  <si>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</si>
  <si>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</si>
  <si>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</si>
  <si>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</si>
  <si>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</si>
  <si>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</si>
  <si>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</si>
  <si>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</si>
  <si>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</si>
  <si>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</si>
  <si>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</si>
  <si>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</si>
  <si>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</si>
  <si>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</si>
  <si>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</si>
  <si>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</si>
  <si>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</si>
  <si>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</si>
  <si>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</si>
  <si>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</si>
  <si>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</si>
  <si>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</si>
  <si>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</si>
  <si>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</si>
  <si>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</si>
  <si>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</si>
  <si>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</si>
  <si>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</si>
  <si>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</si>
  <si>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</si>
  <si>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</si>
  <si>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</si>
  <si>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</si>
  <si>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</si>
  <si>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</si>
  <si>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</si>
  <si>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설정한 일일상한까지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</si>
  <si>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</si>
  <si>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</si>
  <si>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</si>
  <si>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</si>
  <si>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</si>
  <si>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</si>
  <si>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</si>
  <si>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</si>
  <si>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</si>
  <si>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</si>
  <si>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</si>
  <si>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</si>
  <si>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</si>
  <si>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</si>
  <si>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</si>
  <si>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</si>
  <si>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</si>
  <si>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</si>
  <si>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</si>
  <si>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</si>
  <si>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</si>
  <si>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</si>
  <si>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</si>
  <si>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</si>
  <si>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</si>
  <si>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</si>
  <si>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</si>
  <si>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</si>
  <si>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</si>
  <si>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</si>
  <si>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</si>
  <si>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</si>
  <si>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</si>
  <si>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*현업제외</t>
    <phoneticPr fontId="1" type="noConversion"/>
  </si>
  <si>
    <t>**제외시간은 월별 E열에서 날짜별 수정 가능합니다. 평일 기본 1:00, 휴일 기본 0:00.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</si>
</sst>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3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6B7280"/>
      </font>
      <fill>
        <patternFill patternType="solid">
          <fgColor rgb="FFE0E0E0"/>
          <bgColor indexed="64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7" name="btnRegenerate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9E7E1441-52C9-498F-8DBB-70DE9ABE5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1"/>
  <sheetViews>
    <sheetView workbookViewId="0">
      <selection activeCell="C24" sqref="C24"/>
    </sheetView>
  </sheetViews>
  <sheetFormatPr defaultRowHeight="16.5"/>
  <cols>
    <col min="1" max="1" width="12.5" customWidth="1"/>
    <col min="5" max="5" width="10.25" customWidth="1"/>
  </cols>
  <sheetData>
    <row r="1" spans="1:11" ht="17.25" thickBot="1">
      <c r="A1" s="60" t="s">
        <v>38</v>
      </c>
      <c r="B1" s="71">
        <v>2026</v>
      </c>
      <c r="E1" t="s">
        <v>77</v>
      </c>
    </row>
    <row r="2" spans="1:11" ht="18" thickTop="1" thickBot="1">
      <c r="A2" s="61" t="s">
        <v>46</v>
      </c>
      <c r="B2" s="15">
        <v>8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2">
        <v>0.25</v>
      </c>
      <c r="E4" t="s">
        <v>57</v>
      </c>
    </row>
    <row r="5" spans="1:11" ht="18" thickTop="1" thickBot="1">
      <c r="A5" s="61" t="s">
        <v>36</v>
      </c>
      <c r="B5" s="72">
        <v>0.95833333333333337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s="61" t="inlineStr">
        <is>
          <t>월급량상한</t>
        </is>
      </c>
      <c r="B7" s="15">
        <v>25</v>
      </c>
      <c r="E7" t="s">
        <v>74</v>
      </c>
    </row>
    <row r="8" spans="1:11">
      <c r="A8" s="61" t="inlineStr">
        <is>
          <t>분기상한</t>
        </is>
      </c>
      <c r="B8" s="15">
        <v>177</v>
      </c>
      <c r="E8" t="s">
        <v>75</v>
      </c>
    </row>
    <row r="9" spans="1:11">
      <c r="A9" s="61" t="inlineStr">
        <is>
          <t>분기급량상한</t>
        </is>
      </c>
      <c r="B9" s="15">
        <v>60</v>
      </c>
      <c r="E9" t="s">
        <v>76</v>
      </c>
    </row>
    <row r="10">
      <c r="A10" s="61" t="inlineStr">
        <is>
          <t>현업여부</t>
        </is>
      </c>
      <c r="B10" s="15" t="inlineStr">
        <is>
          <t>아니오</t>
        </is>
      </c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8</v>
      </c>
      <c r="K12" t="s">
        <v>51</v>
      </c>
    </row>
    <row r="13" spans="1:11" ht="18" thickTop="1" thickBot="1">
      <c r="E13" s="62" t="inlineStr">
        <is>
          <t>월상한</t>
        </is>
      </c>
      <c r="F13" s="15">
        <v>67</v>
      </c>
      <c r="H13" s="62" t="inlineStr">
        <is>
          <t>월상한</t>
        </is>
      </c>
      <c r="I13" s="15">
        <v>49</v>
      </c>
      <c r="K13" t="s">
        <v>52</v>
      </c>
    </row>
    <row r="14" spans="1:11" ht="18" thickTop="1" thickBot="1">
      <c r="E14" s="62" t="s">
        <v>35</v>
      </c>
      <c r="F14" s="72">
        <v>0.16666666666666666</v>
      </c>
      <c r="H14" s="62" t="s">
        <v>35</v>
      </c>
      <c r="I14" s="72">
        <v>0.25</v>
      </c>
      <c r="K14" t="s">
        <v>53</v>
      </c>
    </row>
    <row r="15" spans="1:11" ht="18" thickTop="1" thickBot="1">
      <c r="E15" s="62" t="s">
        <v>36</v>
      </c>
      <c r="F15" s="72">
        <v>0.95833333333333337</v>
      </c>
      <c r="H15" s="62" t="s">
        <v>36</v>
      </c>
      <c r="I15" s="72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0" spans="5:5">
      <c r="E20" t="s">
        <v>96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inlineStr">
        <is>
          <t>휴일초근 "예"일때 휴일 근무시간 입력 &gt; 설정한 일일상한까지 초과시간 합산, 1:01 이상 근무시 급량+1</t>
        </is>
      </c>
    </row>
    <row r="24" spans="5:5">
      <c r="E24" t="s">
        <v>62</v>
      </c>
    </row>
    <row r="26" spans="5:5">
      <c r="E26" t="s">
        <v>49</v>
      </c>
    </row>
    <row r="27" spans="5:5">
      <c r="E27" t="s">
        <v>60</v>
      </c>
    </row>
    <row r="28" spans="5:5">
      <c r="E28" t="s">
        <v>59</v>
      </c>
    </row>
    <row r="29" spans="5:5">
      <c r="E29" t="s">
        <v>58</v>
      </c>
    </row>
    <row r="30" spans="5:5">
      <c r="E30" t="s">
        <v>50</v>
      </c>
    </row>
    <row r="31" spans="5:5">
      <c r="E31" t="s">
        <v>48</v>
      </c>
    </row>
  </sheetData>
  <phoneticPr fontId="1" type="noConversion"/>
  <dataValidations count="2">
    <dataValidation type="list" allowBlank="1" showInputMessage="1" showErrorMessage="1" sqref="I16 F16 B6" xr:uid="{F109FF6E-09C0-4365-A0B9-861B29189246}">
      <formula1>"예,아니오"</formula1>
    </dataValidation>
    <dataValidation type="list" allowBlank="0" showErrorMessage="1" errorTitle="선택 오류" error="예 또는 아니오를 선택하세요." sqref="B10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SUM(SUMIF('1월'!J:J, A2, '1월'!K:K),SUMIF('2월'!J:J, A2, '2월'!K:K),SUMIF('3월'!J:J, A2, '3월'!K:K),SUMIF('4월'!J:J, A2, '4월'!K:K),SUMIF('5월'!J:J, A2, '5월'!K:K),SUMIF('6월'!J:J, A2, '6월'!K:K),SUMIF('7월'!J:J, A2, '7월'!K:K),SUMIF('8월'!J:J, A2, '8월'!K:K),SUMIF('9월'!J:J, A2, '9월'!K:K),SUMIF('10월'!J:J, A2, '10월'!K:K),SUMIF('11월'!J:J, A2, '11월'!K:K),SUMIF('12월'!J:J, A2, '12월'!K:K))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SUM(SUMIF('1월'!J:J, A3, '1월'!K:K),SUMIF('2월'!J:J, A3, '2월'!K:K),SUMIF('3월'!J:J, A3, '3월'!K:K),SUMIF('4월'!J:J, A3, '4월'!K:K),SUMIF('5월'!J:J, A3, '5월'!K:K),SUMIF('6월'!J:J, A3, '6월'!K:K),SUMIF('7월'!J:J, A3, '7월'!K:K),SUMIF('8월'!J:J, A3, '8월'!K:K),SUMIF('9월'!J:J, A3, '9월'!K:K),SUMIF('10월'!J:J, A3, '10월'!K:K),SUMIF('11월'!J:J, A3, '11월'!K:K),SUMIF('12월'!J:J, A3, '12월'!K:K))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SUM(SUMIF('1월'!J:J, A4, '1월'!K:K),SUMIF('2월'!J:J, A4, '2월'!K:K),SUMIF('3월'!J:J, A4, '3월'!K:K),SUMIF('4월'!J:J, A4, '4월'!K:K),SUMIF('5월'!J:J, A4, '5월'!K:K),SUMIF('6월'!J:J, A4, '6월'!K:K),SUMIF('7월'!J:J, A4, '7월'!K:K),SUMIF('8월'!J:J, A4, '8월'!K:K),SUMIF('9월'!J:J, A4, '9월'!K:K),SUMIF('10월'!J:J, A4, '10월'!K:K),SUMIF('11월'!J:J, A4, '11월'!K:K),SUMIF('12월'!J:J, A4, '12월'!K:K))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SUM(SUMIF('1월'!J:J, A5, '1월'!K:K),SUMIF('2월'!J:J, A5, '2월'!K:K),SUMIF('3월'!J:J, A5, '3월'!K:K),SUMIF('4월'!J:J, A5, '4월'!K:K),SUMIF('5월'!J:J, A5, '5월'!K:K),SUMIF('6월'!J:J, A5, '6월'!K:K),SUMIF('7월'!J:J, A5, '7월'!K:K),SUMIF('8월'!J:J, A5, '8월'!K:K),SUMIF('9월'!J:J, A5, '9월'!K:K),SUMIF('10월'!J:J, A5, '10월'!K:K),SUMIF('11월'!J:J, A5, '11월'!K:K),SUMIF('12월'!J:J, A5, '12월'!K:K))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SUM(SUMIF('1월'!J:J, A6, '1월'!K:K),SUMIF('2월'!J:J, A6, '2월'!K:K),SUMIF('3월'!J:J, A6, '3월'!K:K),SUMIF('4월'!J:J, A6, '4월'!K:K),SUMIF('5월'!J:J, A6, '5월'!K:K),SUMIF('6월'!J:J, A6, '6월'!K:K),SUMIF('7월'!J:J, A6, '7월'!K:K),SUMIF('8월'!J:J, A6, '8월'!K:K),SUMIF('9월'!J:J, A6, '9월'!K:K),SUMIF('10월'!J:J, A6, '10월'!K:K),SUMIF('11월'!J:J, A6, '11월'!K:K),SUMIF('12월'!J:J, A6, '12월'!K:K))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SUM(SUMIF('1월'!J:J, A7, '1월'!K:K),SUMIF('2월'!J:J, A7, '2월'!K:K),SUMIF('3월'!J:J, A7, '3월'!K:K),SUMIF('4월'!J:J, A7, '4월'!K:K),SUMIF('5월'!J:J, A7, '5월'!K:K),SUMIF('6월'!J:J, A7, '6월'!K:K),SUMIF('7월'!J:J, A7, '7월'!K:K),SUMIF('8월'!J:J, A7, '8월'!K:K),SUMIF('9월'!J:J, A7, '9월'!K:K),SUMIF('10월'!J:J, A7, '10월'!K:K),SUMIF('11월'!J:J, A7, '11월'!K:K),SUMIF('12월'!J:J, A7, '12월'!K:K))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SUM(SUMIF('1월'!J:J, A8, '1월'!K:K),SUMIF('2월'!J:J, A8, '2월'!K:K),SUMIF('3월'!J:J, A8, '3월'!K:K),SUMIF('4월'!J:J, A8, '4월'!K:K),SUMIF('5월'!J:J, A8, '5월'!K:K),SUMIF('6월'!J:J, A8, '6월'!K:K),SUMIF('7월'!J:J, A8, '7월'!K:K),SUMIF('8월'!J:J, A8, '8월'!K:K),SUMIF('9월'!J:J, A8, '9월'!K:K),SUMIF('10월'!J:J, A8, '10월'!K:K),SUMIF('11월'!J:J, A8, '11월'!K:K),SUMIF('12월'!J:J, A8, '12월'!K:K))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SUM(SUMIF('1월'!J:J, A9, '1월'!K:K),SUMIF('2월'!J:J, A9, '2월'!K:K),SUMIF('3월'!J:J, A9, '3월'!K:K),SUMIF('4월'!J:J, A9, '4월'!K:K),SUMIF('5월'!J:J, A9, '5월'!K:K),SUMIF('6월'!J:J, A9, '6월'!K:K),SUMIF('7월'!J:J, A9, '7월'!K:K),SUMIF('8월'!J:J, A9, '8월'!K:K),SUMIF('9월'!J:J, A9, '9월'!K:K),SUMIF('10월'!J:J, A9, '10월'!K:K),SUMIF('11월'!J:J, A9, '11월'!K:K),SUMIF('12월'!J:J, A9, '12월'!K:K))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SUM(SUMIF('1월'!J:J, A10, '1월'!K:K),SUMIF('2월'!J:J, A10, '2월'!K:K),SUMIF('3월'!J:J, A10, '3월'!K:K),SUMIF('4월'!J:J, A10, '4월'!K:K),SUMIF('5월'!J:J, A10, '5월'!K:K),SUMIF('6월'!J:J, A10, '6월'!K:K),SUMIF('7월'!J:J, A10, '7월'!K:K),SUMIF('8월'!J:J, A10, '8월'!K:K),SUMIF('9월'!J:J, A10, '9월'!K:K),SUMIF('10월'!J:J, A10, '10월'!K:K),SUMIF('11월'!J:J, A10, '11월'!K:K),SUMIF('12월'!J:J, A10, '12월'!K:K))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SUM(SUMIF('1월'!J:J, A11, '1월'!K:K),SUMIF('2월'!J:J, A11, '2월'!K:K),SUMIF('3월'!J:J, A11, '3월'!K:K),SUMIF('4월'!J:J, A11, '4월'!K:K),SUMIF('5월'!J:J, A11, '5월'!K:K),SUMIF('6월'!J:J, A11, '6월'!K:K),SUMIF('7월'!J:J, A11, '7월'!K:K),SUMIF('8월'!J:J, A11, '8월'!K:K),SUMIF('9월'!J:J, A11, '9월'!K:K),SUMIF('10월'!J:J, A11, '10월'!K:K),SUMIF('11월'!J:J, A11, '11월'!K:K),SUMIF('12월'!J:J, A11, '12월'!K:K))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SUM(SUMIF('1월'!J:J, A12, '1월'!K:K),SUMIF('2월'!J:J, A12, '2월'!K:K),SUMIF('3월'!J:J, A12, '3월'!K:K),SUMIF('4월'!J:J, A12, '4월'!K:K),SUMIF('5월'!J:J, A12, '5월'!K:K),SUMIF('6월'!J:J, A12, '6월'!K:K),SUMIF('7월'!J:J, A12, '7월'!K:K),SUMIF('8월'!J:J, A12, '8월'!K:K),SUMIF('9월'!J:J, A12, '9월'!K:K),SUMIF('10월'!J:J, A12, '10월'!K:K),SUMIF('11월'!J:J, A12, '11월'!K:K),SUMIF('12월'!J:J, A12, '12월'!K:K))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SUM(SUMIF('1월'!J:J, A13, '1월'!K:K),SUMIF('2월'!J:J, A13, '2월'!K:K),SUMIF('3월'!J:J, A13, '3월'!K:K),SUMIF('4월'!J:J, A13, '4월'!K:K),SUMIF('5월'!J:J, A13, '5월'!K:K),SUMIF('6월'!J:J, A13, '6월'!K:K),SUMIF('7월'!J:J, A13, '7월'!K:K),SUMIF('8월'!J:J, A13, '8월'!K:K),SUMIF('9월'!J:J, A13, '9월'!K:K),SUMIF('10월'!J:J, A13, '10월'!K:K),SUMIF('11월'!J:J, A13, '11월'!K:K),SUMIF('12월'!J:J, A13, '12월'!K:K))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SUM(SUMIF('1월'!J:J, A14, '1월'!K:K),SUMIF('2월'!J:J, A14, '2월'!K:K),SUMIF('3월'!J:J, A14, '3월'!K:K),SUMIF('4월'!J:J, A14, '4월'!K:K),SUMIF('5월'!J:J, A14, '5월'!K:K),SUMIF('6월'!J:J, A14, '6월'!K:K),SUMIF('7월'!J:J, A14, '7월'!K:K),SUMIF('8월'!J:J, A14, '8월'!K:K),SUMIF('9월'!J:J, A14, '9월'!K:K),SUMIF('10월'!J:J, A14, '10월'!K:K),SUMIF('11월'!J:J, A14, '11월'!K:K),SUMIF('12월'!J:J, A14, '12월'!K:K))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SUM(SUMIF('1월'!J:J, A15, '1월'!K:K),SUMIF('2월'!J:J, A15, '2월'!K:K),SUMIF('3월'!J:J, A15, '3월'!K:K),SUMIF('4월'!J:J, A15, '4월'!K:K),SUMIF('5월'!J:J, A15, '5월'!K:K),SUMIF('6월'!J:J, A15, '6월'!K:K),SUMIF('7월'!J:J, A15, '7월'!K:K),SUMIF('8월'!J:J, A15, '8월'!K:K),SUMIF('9월'!J:J, A15, '9월'!K:K),SUMIF('10월'!J:J, A15, '10월'!K:K),SUMIF('11월'!J:J, A15, '11월'!K:K),SUMIF('12월'!J:J, A15, '12월'!K:K))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SUM(SUMIF('1월'!J:J, A16, '1월'!K:K),SUMIF('2월'!J:J, A16, '2월'!K:K),SUMIF('3월'!J:J, A16, '3월'!K:K),SUMIF('4월'!J:J, A16, '4월'!K:K),SUMIF('5월'!J:J, A16, '5월'!K:K),SUMIF('6월'!J:J, A16, '6월'!K:K),SUMIF('7월'!J:J, A16, '7월'!K:K),SUMIF('8월'!J:J, A16, '8월'!K:K),SUMIF('9월'!J:J, A16, '9월'!K:K),SUMIF('10월'!J:J, A16, '10월'!K:K),SUMIF('11월'!J:J, A16, '11월'!K:K),SUMIF('12월'!J:J, A16, '12월'!K:K))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SUM(SUMIF('1월'!J:J, A17, '1월'!K:K),SUMIF('2월'!J:J, A17, '2월'!K:K),SUMIF('3월'!J:J, A17, '3월'!K:K),SUMIF('4월'!J:J, A17, '4월'!K:K),SUMIF('5월'!J:J, A17, '5월'!K:K),SUMIF('6월'!J:J, A17, '6월'!K:K),SUMIF('7월'!J:J, A17, '7월'!K:K),SUMIF('8월'!J:J, A17, '8월'!K:K),SUMIF('9월'!J:J, A17, '9월'!K:K),SUMIF('10월'!J:J, A17, '10월'!K:K),SUMIF('11월'!J:J, A17, '11월'!K:K),SUMIF('12월'!J:J, A17, '12월'!K:K))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SUM(SUMIF('1월'!J:J, A18, '1월'!K:K),SUMIF('2월'!J:J, A18, '2월'!K:K),SUMIF('3월'!J:J, A18, '3월'!K:K),SUMIF('4월'!J:J, A18, '4월'!K:K),SUMIF('5월'!J:J, A18, '5월'!K:K),SUMIF('6월'!J:J, A18, '6월'!K:K),SUMIF('7월'!J:J, A18, '7월'!K:K),SUMIF('8월'!J:J, A18, '8월'!K:K),SUMIF('9월'!J:J, A18, '9월'!K:K),SUMIF('10월'!J:J, A18, '10월'!K:K),SUMIF('11월'!J:J, A18, '11월'!K:K),SUMIF('12월'!J:J, A18, '12월'!K:K))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SUM(SUMIF('1월'!J:J, A19, '1월'!K:K),SUMIF('2월'!J:J, A19, '2월'!K:K),SUMIF('3월'!J:J, A19, '3월'!K:K),SUMIF('4월'!J:J, A19, '4월'!K:K),SUMIF('5월'!J:J, A19, '5월'!K:K),SUMIF('6월'!J:J, A19, '6월'!K:K),SUMIF('7월'!J:J, A19, '7월'!K:K),SUMIF('8월'!J:J, A19, '8월'!K:K),SUMIF('9월'!J:J, A19, '9월'!K:K),SUMIF('10월'!J:J, A19, '10월'!K:K),SUMIF('11월'!J:J, A19, '11월'!K:K),SUMIF('12월'!J:J, A19, '12월'!K:K))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SUM(SUMIF('1월'!J:J, A20, '1월'!K:K),SUMIF('2월'!J:J, A20, '2월'!K:K),SUMIF('3월'!J:J, A20, '3월'!K:K),SUMIF('4월'!J:J, A20, '4월'!K:K),SUMIF('5월'!J:J, A20, '5월'!K:K),SUMIF('6월'!J:J, A20, '6월'!K:K),SUMIF('7월'!J:J, A20, '7월'!K:K),SUMIF('8월'!J:J, A20, '8월'!K:K),SUMIF('9월'!J:J, A20, '9월'!K:K),SUMIF('10월'!J:J, A20, '10월'!K:K),SUMIF('11월'!J:J, A20, '11월'!K:K),SUMIF('12월'!J:J, A20, '12월'!K:K))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SUM(SUMIF('1월'!J:J, A21, '1월'!K:K),SUMIF('2월'!J:J, A21, '2월'!K:K),SUMIF('3월'!J:J, A21, '3월'!K:K),SUMIF('4월'!J:J, A21, '4월'!K:K),SUMIF('5월'!J:J, A21, '5월'!K:K),SUMIF('6월'!J:J, A21, '6월'!K:K),SUMIF('7월'!J:J, A21, '7월'!K:K),SUMIF('8월'!J:J, A21, '8월'!K:K),SUMIF('9월'!J:J, A21, '9월'!K:K),SUMIF('10월'!J:J, A21, '10월'!K:K),SUMIF('11월'!J:J, A21, '11월'!K:K),SUMIF('12월'!J:J, A21, '12월'!K:K))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SUM(SUMIF('1월'!J:J, A22, '1월'!K:K),SUMIF('2월'!J:J, A22, '2월'!K:K),SUMIF('3월'!J:J, A22, '3월'!K:K),SUMIF('4월'!J:J, A22, '4월'!K:K),SUMIF('5월'!J:J, A22, '5월'!K:K),SUMIF('6월'!J:J, A22, '6월'!K:K),SUMIF('7월'!J:J, A22, '7월'!K:K),SUMIF('8월'!J:J, A22, '8월'!K:K),SUMIF('9월'!J:J, A22, '9월'!K:K),SUMIF('10월'!J:J, A22, '10월'!K:K),SUMIF('11월'!J:J, A22, '11월'!K:K),SUMIF('12월'!J:J, A22, '12월'!K:K))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SUM(SUMIF('1월'!J:J, A23, '1월'!K:K),SUMIF('2월'!J:J, A23, '2월'!K:K),SUMIF('3월'!J:J, A23, '3월'!K:K),SUMIF('4월'!J:J, A23, '4월'!K:K),SUMIF('5월'!J:J, A23, '5월'!K:K),SUMIF('6월'!J:J, A23, '6월'!K:K),SUMIF('7월'!J:J, A23, '7월'!K:K),SUMIF('8월'!J:J, A23, '8월'!K:K),SUMIF('9월'!J:J, A23, '9월'!K:K),SUMIF('10월'!J:J, A23, '10월'!K:K),SUMIF('11월'!J:J, A23, '11월'!K:K),SUMIF('12월'!J:J, A23, '12월'!K:K))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SUM(SUMIF('1월'!J:J, A24, '1월'!K:K),SUMIF('2월'!J:J, A24, '2월'!K:K),SUMIF('3월'!J:J, A24, '3월'!K:K),SUMIF('4월'!J:J, A24, '4월'!K:K),SUMIF('5월'!J:J, A24, '5월'!K:K),SUMIF('6월'!J:J, A24, '6월'!K:K),SUMIF('7월'!J:J, A24, '7월'!K:K),SUMIF('8월'!J:J, A24, '8월'!K:K),SUMIF('9월'!J:J, A24, '9월'!K:K),SUMIF('10월'!J:J, A24, '10월'!K:K),SUMIF('11월'!J:J, A24, '11월'!K:K),SUMIF('12월'!J:J, A24, '12월'!K:K))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SUM(SUMIF('1월'!J:J, A25, '1월'!K:K),SUMIF('2월'!J:J, A25, '2월'!K:K),SUMIF('3월'!J:J, A25, '3월'!K:K),SUMIF('4월'!J:J, A25, '4월'!K:K),SUMIF('5월'!J:J, A25, '5월'!K:K),SUMIF('6월'!J:J, A25, '6월'!K:K),SUMIF('7월'!J:J, A25, '7월'!K:K),SUMIF('8월'!J:J, A25, '8월'!K:K),SUMIF('9월'!J:J, A25, '9월'!K:K),SUMIF('10월'!J:J, A25, '10월'!K:K),SUMIF('11월'!J:J, A25, '11월'!K:K),SUMIF('12월'!J:J, A25, '12월'!K:K))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SUM(SUMIF('1월'!J:J, A26, '1월'!K:K),SUMIF('2월'!J:J, A26, '2월'!K:K),SUMIF('3월'!J:J, A26, '3월'!K:K),SUMIF('4월'!J:J, A26, '4월'!K:K),SUMIF('5월'!J:J, A26, '5월'!K:K),SUMIF('6월'!J:J, A26, '6월'!K:K),SUMIF('7월'!J:J, A26, '7월'!K:K),SUMIF('8월'!J:J, A26, '8월'!K:K),SUMIF('9월'!J:J, A26, '9월'!K:K),SUMIF('10월'!J:J, A26, '10월'!K:K),SUMIF('11월'!J:J, A26, '11월'!K:K),SUMIF('12월'!J:J, A26, '12월'!K:K))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SUM(SUMIF('1월'!J:J, A27, '1월'!K:K),SUMIF('2월'!J:J, A27, '2월'!K:K),SUMIF('3월'!J:J, A27, '3월'!K:K),SUMIF('4월'!J:J, A27, '4월'!K:K),SUMIF('5월'!J:J, A27, '5월'!K:K),SUMIF('6월'!J:J, A27, '6월'!K:K),SUMIF('7월'!J:J, A27, '7월'!K:K),SUMIF('8월'!J:J, A27, '8월'!K:K),SUMIF('9월'!J:J, A27, '9월'!K:K),SUMIF('10월'!J:J, A27, '10월'!K:K),SUMIF('11월'!J:J, A27, '11월'!K:K),SUMIF('12월'!J:J, A27, '12월'!K:K))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SUM(SUMIF('1월'!J:J, A28, '1월'!K:K),SUMIF('2월'!J:J, A28, '2월'!K:K),SUMIF('3월'!J:J, A28, '3월'!K:K),SUMIF('4월'!J:J, A28, '4월'!K:K),SUMIF('5월'!J:J, A28, '5월'!K:K),SUMIF('6월'!J:J, A28, '6월'!K:K),SUMIF('7월'!J:J, A28, '7월'!K:K),SUMIF('8월'!J:J, A28, '8월'!K:K),SUMIF('9월'!J:J, A28, '9월'!K:K),SUMIF('10월'!J:J, A28, '10월'!K:K),SUMIF('11월'!J:J, A28, '11월'!K:K),SUMIF('12월'!J:J, A28, '12월'!K:K))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SUM(SUMIF('1월'!J:J, A29, '1월'!K:K),SUMIF('2월'!J:J, A29, '2월'!K:K),SUMIF('3월'!J:J, A29, '3월'!K:K),SUMIF('4월'!J:J, A29, '4월'!K:K),SUMIF('5월'!J:J, A29, '5월'!K:K),SUMIF('6월'!J:J, A29, '6월'!K:K),SUMIF('7월'!J:J, A29, '7월'!K:K),SUMIF('8월'!J:J, A29, '8월'!K:K),SUMIF('9월'!J:J, A29, '9월'!K:K),SUMIF('10월'!J:J, A29, '10월'!K:K),SUMIF('11월'!J:J, A29, '11월'!K:K),SUMIF('12월'!J:J, A29, '12월'!K:K))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SUM(SUMIF('1월'!J:J, A30, '1월'!K:K),SUMIF('2월'!J:J, A30, '2월'!K:K),SUMIF('3월'!J:J, A30, '3월'!K:K),SUMIF('4월'!J:J, A30, '4월'!K:K),SUMIF('5월'!J:J, A30, '5월'!K:K),SUMIF('6월'!J:J, A30, '6월'!K:K),SUMIF('7월'!J:J, A30, '7월'!K:K),SUMIF('8월'!J:J, A30, '8월'!K:K),SUMIF('9월'!J:J, A30, '9월'!K:K),SUMIF('10월'!J:J, A30, '10월'!K:K),SUMIF('11월'!J:J, A30, '11월'!K:K),SUMIF('12월'!J:J, A30, '12월'!K:K))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7"/>
  <sheetViews>
    <sheetView tabSelected="1" workbookViewId="0">
      <selection activeCell="Q14" sqref="Q1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.625" style="22" customWidth="1"/>
    <col min="14" max="16" width="7.375" style="2" customWidth="1"/>
    <col min="17" max="17" width="9.25" style="2" customWidth="1"/>
    <col min="18" max="18" width="11.25" style="2" bestFit="1" customWidth="1"/>
    <col min="19" max="19" width="7.375" style="2" customWidth="1"/>
    <col min="20" max="16385" width="9" style="2"/>
    <col min="5" max="5" width="11" customWidth="1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M1"/>
      <c r="N1"/>
      <c r="O1"/>
      <c r="P1"/>
      <c r="Q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M2" s="21"/>
      <c r="N2"/>
      <c r="O2"/>
      <c r="P2"/>
      <c r="Q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6"/>
      <c r="M3" s="21"/>
      <c r="N3"/>
      <c r="O3"/>
      <c r="P3"/>
      <c r="Q3" s="59"/>
      <c r="R3"/>
      <c r="S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1"/>
      <c r="N4"/>
      <c r="O4"/>
      <c r="P4"/>
      <c r="Q4"/>
      <c r="R4"/>
      <c r="S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/>
      <c r="N5"/>
      <c r="O5"/>
      <c r="P5"/>
      <c r="Q5"/>
      <c r="R5"/>
      <c r="S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1</v>
      </c>
      <c r="H6" s="8">
        <f t="shared" si="0"/>
        <v>1</v>
      </c>
      <c r="I6" s="6"/>
      <c r="M6"/>
      <c r="N6"/>
      <c r="O6"/>
      <c r="P6"/>
      <c r="Q6"/>
      <c r="R6"/>
      <c r="S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M7"/>
      <c r="N7"/>
      <c r="O7"/>
      <c r="P7"/>
      <c r="Q7"/>
      <c r="R7"/>
      <c r="S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/>
      <c r="N8"/>
      <c r="O8"/>
      <c r="P8"/>
      <c r="Q8"/>
      <c r="R8"/>
      <c r="S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/>
      <c r="N9"/>
      <c r="O9"/>
      <c r="P9"/>
      <c r="Q9"/>
      <c r="R9"/>
      <c r="S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>
        <v>0.25</v>
      </c>
      <c r="D10" s="19">
        <v>0.95833333333333337</v>
      </c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1</v>
      </c>
      <c r="H10" s="8">
        <f t="shared" si="0"/>
        <v>1</v>
      </c>
      <c r="I10" s="6"/>
      <c r="M10"/>
      <c r="N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19">
        <v>0.25</v>
      </c>
      <c r="D11" s="19">
        <v>0.95833333333333337</v>
      </c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1</v>
      </c>
      <c r="H11" s="8">
        <f t="shared" si="0"/>
        <v>0</v>
      </c>
      <c r="I11" s="6"/>
      <c r="M11"/>
      <c r="N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/>
      <c r="N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M13"/>
      <c r="N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/>
      <c r="N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/>
      <c r="N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/>
      <c r="N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/>
      <c r="N17"/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M18"/>
      <c r="N18"/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</row>
    <row r="33" spans="1:8">
      <c r="A33" s="6"/>
      <c r="B33" s="55"/>
      <c r="C33" s="5"/>
      <c r="D33" s="11" t="s">
        <v>5</v>
      </c>
      <c r="F33" s="13">
        <f>SUM(F2:F32)</f>
        <v>0.54305555555555551</v>
      </c>
      <c r="G33" s="6" t="s">
        <v>7</v>
      </c>
      <c r="H33" s="14">
        <f>MIN(SUM(G2:H32),MAX(0,VALUE(설정!$B$7)))</f>
        <v>5</v>
      </c>
      <c r="I33"/>
    </row>
    <row r="34" spans="1:8">
      <c r="A34" s="6"/>
      <c r="B34" s="55"/>
      <c r="C34" s="6"/>
      <c r="D34" s="1" t="s">
        <v>6</v>
      </c>
      <c r="F34" s="12">
        <f>MAX(0, ((설정!$B$3*60) - (F33*1440)) / 1440)</f>
        <v>1.4986111111111111</v>
      </c>
      <c r="G34" s="1" t="s">
        <v>6</v>
      </c>
      <c r="H34" s="7">
        <f>MAX(0,MAX(0,VALUE(설정!$B$7))-H33)</f>
        <v>15</v>
      </c>
      <c r="I34"/>
    </row>
    <row r="35" spans="1:8">
      <c r="D35" s="2" t="s">
        <v>8</v>
      </c>
      <c r="F35" s="12">
        <f>IF(SUM(F2:F32)&gt;(설정!$B$3/24),(SUM(F2:F32)-(설정!$B$3/24)),0)</f>
        <v>0</v>
      </c>
      <c r="G35" s="2" t="s">
        <v>8</v>
      </c>
      <c r="H35" s="18">
        <f>MAX(0,SUM(G2:H32)-MAX(0,VALUE(설정!$B$7)))</f>
        <v>0</v>
      </c>
      <c r="I35"/>
    </row>
    <row r="36" spans="1:8">
      <c r="D36" s="1" t="s">
        <v>32</v>
      </c>
      <c r="F36" s="2">
        <f>IF(설정!$B$6&lt;&gt;"아니오",0,COUNTIFS($B$2:$B$32,"휴일",$C$2:$C$32,"&lt;&gt;"))</f>
        <v>0</v>
      </c>
      <c r="H36" s="2">
        <f>SUM(G2:H32)</f>
        <v>5</v>
      </c>
      <c r="I36"/>
    </row>
    <row r="37" spans="1:8">
      <c r="F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" style="22"/>
    <col min="14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N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0" si="0">IF($B3="휴일",0,IF(ISBLANK(D3),0,IF(D3&gt;=TIME(19,1,0),1,0)))</f>
        <v>0</v>
      </c>
      <c r="I3" s="6"/>
      <c r="N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M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M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M10" s="23"/>
      <c r="N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M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M13" s="23"/>
      <c r="N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 s="23"/>
      <c r="N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 s="23"/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 t="s">
        <v>65</v>
      </c>
      <c r="M18" s="23"/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M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M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M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M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M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M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M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M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M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M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30"/>
      <c r="M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5"/>
      <c r="M30" s="23"/>
    </row>
    <row r="31" spans="1:12">
      <c r="A31" s="6"/>
      <c r="B31" s="55"/>
      <c r="C31" s="5"/>
      <c r="D31" s="11" t="s">
        <v>5</v>
      </c>
      <c r="F31" s="13">
        <f>SUM(F2:F30)</f>
        <v>0</v>
      </c>
      <c r="G31" s="6" t="s">
        <v>7</v>
      </c>
      <c r="H31" s="14">
        <f>MIN(SUM(G2:H30),MAX(0,VALUE(설정!$B$7)))</f>
        <v>0</v>
      </c>
      <c r="I31"/>
      <c r="L31" s="6"/>
      <c r="M31" s="23"/>
    </row>
    <row r="32" spans="1:12">
      <c r="A32" s="6"/>
      <c r="B32" s="55"/>
      <c r="C32" s="6"/>
      <c r="D32" s="1" t="s">
        <v>6</v>
      </c>
      <c r="F32" s="12">
        <f>MAX(0, ((설정!$B$3*60) - (F31*1440)) / 1440)</f>
        <v>2.0416666666666665</v>
      </c>
      <c r="G32" s="1" t="s">
        <v>6</v>
      </c>
      <c r="H32" s="7">
        <f>MAX(0,MAX(0,VALUE(설정!$B$7))-H31)</f>
        <v>20</v>
      </c>
      <c r="I32"/>
      <c r="L32" s="6"/>
      <c r="M32" s="23"/>
    </row>
    <row r="33" spans="4:8">
      <c r="D33" s="2" t="s">
        <v>8</v>
      </c>
      <c r="F33" s="12">
        <f>IF(SUM(F2:F30)&gt;(설정!$B$3/24), (SUM(F2:F30)-(설정!$B$3/24)), 0)</f>
        <v>0</v>
      </c>
      <c r="G33" s="2" t="s">
        <v>8</v>
      </c>
      <c r="H33" s="18">
        <f>MAX(0,SUM(G2:H30)-MAX(0,VALUE(설정!$B$7)))</f>
        <v>0</v>
      </c>
      <c r="I33"/>
    </row>
    <row r="34" spans="4:8">
      <c r="D34" s="1" t="s">
        <v>32</v>
      </c>
      <c r="F34" s="2">
        <f>IF(설정!$B$6&lt;&gt;"아니오",0,COUNTIFS($B$2:$B$30,"휴일",$C$2:$C$30,"&lt;&gt;"))</f>
        <v>0</v>
      </c>
      <c r="H34" s="6">
        <f>SUM(G2:H30)</f>
        <v>0</v>
      </c>
      <c r="I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37"/>
  <sheetViews>
    <sheetView workbookViewId="0">
      <selection activeCell="L8" sqref="L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1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3"/>
      <c r="K2" s="35"/>
      <c r="L2" s="63" t="s">
        <v>12</v>
      </c>
      <c r="M2" s="70">
        <f>IF(설정!$B$10="예","",'1월'!$F$33)</f>
        <v>0.54305555555555551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2" t="s">
        <v>66</v>
      </c>
      <c r="J3" s="33"/>
      <c r="K3" s="35"/>
      <c r="L3" s="63" t="s">
        <v>81</v>
      </c>
      <c r="M3" s="70">
        <f>IF(설정!$B$10="예","",'2월'!$F$31)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82</v>
      </c>
      <c r="M4" s="70">
        <f>IF(설정!$B$10="예","",'3월'!$F$33)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0.54305555555555551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5"/>
      <c r="J10" s="33"/>
      <c r="K10" s="35"/>
      <c r="L10" s="26" t="inlineStr">
        <is>
          <t>1월</t>
        </is>
      </c>
      <c r="M10" s="15">
        <f>'1월'!$H$33</f>
        <v/>
      </c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2월</t>
        </is>
      </c>
      <c r="M11" s="15">
        <f>'2월'!$H$31</f>
        <v/>
      </c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3월</t>
        </is>
      </c>
      <c r="M12" s="15">
        <f>'3월'!$H$33</f>
        <v/>
      </c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67">
        <f>IF(설정!$B$10="예",MAX(0,VALUE(설정!$B$3))/24,MAX(0,VALUE(설정!$B$8)/24-SUM(M2:M3)))</f>
        <v/>
      </c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45"/>
      <c r="J23" s="33"/>
      <c r="K23" s="35"/>
      <c r="L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5"/>
      <c r="J30" s="33"/>
      <c r="K30" s="35"/>
      <c r="L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MAX(0,F33-$M$17)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9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73"/>
      <c r="J2" s="36"/>
      <c r="K2" s="35"/>
      <c r="M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I3" s="74"/>
      <c r="J3" s="37"/>
      <c r="K3" s="35"/>
      <c r="M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74"/>
      <c r="J4" s="33"/>
      <c r="K4" s="35"/>
      <c r="L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74"/>
      <c r="J5" s="33"/>
      <c r="K5" s="35"/>
      <c r="L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74"/>
      <c r="J6" s="33"/>
      <c r="K6" s="35"/>
      <c r="L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74"/>
      <c r="J7" s="33"/>
      <c r="K7" s="35"/>
      <c r="L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74"/>
      <c r="J8" s="33"/>
      <c r="K8" s="35"/>
      <c r="L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74"/>
      <c r="J9" s="33"/>
      <c r="K9" s="35"/>
      <c r="L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74"/>
      <c r="J10" s="33"/>
      <c r="K10" s="35"/>
      <c r="L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74"/>
      <c r="J11" s="33"/>
      <c r="K11" s="35"/>
      <c r="L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74"/>
      <c r="J12" s="33"/>
      <c r="K12" s="35"/>
      <c r="L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74"/>
      <c r="J13" s="33"/>
      <c r="K13" s="35"/>
      <c r="L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74"/>
      <c r="J14" s="33"/>
      <c r="K14" s="35"/>
      <c r="L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74"/>
      <c r="J15" s="33"/>
      <c r="K15" s="35"/>
      <c r="L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74"/>
      <c r="J16" s="33"/>
      <c r="K16" s="35"/>
      <c r="L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74"/>
      <c r="J17" s="33"/>
      <c r="K17" s="35"/>
      <c r="L17" s="23"/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74"/>
      <c r="J18" s="33"/>
      <c r="K18" s="35"/>
      <c r="L18" s="23"/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74"/>
      <c r="J19" s="33"/>
      <c r="K19" s="35"/>
      <c r="L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74"/>
      <c r="J20" s="33"/>
      <c r="K20" s="35"/>
      <c r="L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74"/>
      <c r="J21" s="33"/>
      <c r="K21" s="35"/>
      <c r="L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74"/>
      <c r="J22" s="33"/>
      <c r="K22" s="35"/>
      <c r="L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74"/>
      <c r="J23" s="33"/>
      <c r="K23" s="35"/>
      <c r="L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74"/>
      <c r="J24" s="33"/>
      <c r="K24" s="35"/>
      <c r="L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74"/>
      <c r="J25" s="33"/>
      <c r="K25" s="35"/>
      <c r="L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74"/>
      <c r="J26" s="33"/>
      <c r="K26" s="35"/>
      <c r="L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74"/>
      <c r="J27" s="33"/>
      <c r="K27" s="35"/>
      <c r="L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74"/>
      <c r="J28" s="33"/>
      <c r="K28" s="35"/>
      <c r="L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mergeCells count="1">
    <mergeCell ref="I2:I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2"/>
      <c r="J4" s="33"/>
      <c r="K4" s="35"/>
      <c r="L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5"/>
      <c r="J5" s="33"/>
      <c r="K5" s="35"/>
      <c r="L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42" t="s">
        <v>67</v>
      </c>
      <c r="J6" s="33"/>
      <c r="K6" s="35"/>
      <c r="L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2"/>
      <c r="J7" s="33"/>
      <c r="K7" s="35"/>
      <c r="L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66</v>
      </c>
      <c r="J26" s="33"/>
      <c r="K26" s="35"/>
      <c r="L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36"/>
  <sheetViews>
    <sheetView workbookViewId="0">
      <selection activeCell="N23" sqref="N2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86</v>
      </c>
      <c r="M2" s="70">
        <f>IF(설정!$B$10="예","",'4월'!$F$32)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87</v>
      </c>
      <c r="M3" s="70">
        <f>IF(설정!$B$10="예","",'5월'!$F$33)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 t="s">
        <v>68</v>
      </c>
      <c r="J4" s="37"/>
      <c r="K4" s="35"/>
      <c r="L4" s="63" t="s">
        <v>88</v>
      </c>
      <c r="M4" s="70">
        <f>IF(설정!$B$10="예","",'6월'!$F$32)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2"/>
      <c r="J8" s="33"/>
      <c r="K8" s="35"/>
      <c r="L8" s="23" t="s">
        <v>95</v>
      </c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4월</t>
        </is>
      </c>
      <c r="M10" s="15">
        <f>'4월'!$H$32</f>
        <v/>
      </c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5월</t>
        </is>
      </c>
      <c r="M11" s="15">
        <f>'5월'!$H$33</f>
        <v/>
      </c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6월</t>
        </is>
      </c>
      <c r="M12" s="15">
        <f>'6월'!$H$32</f>
        <v/>
      </c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2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67">
        <f>IF(설정!$B$10="예",MAX(0,VALUE(설정!$B$3))/24,MAX(0,VALUE(설정!$B$8)/24-SUM(M2:M3)))</f>
        <v/>
      </c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33"/>
      <c r="K19" s="35"/>
      <c r="L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2"/>
      <c r="J22" s="33"/>
      <c r="K22" s="35"/>
      <c r="L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2"/>
      <c r="J30" s="33"/>
      <c r="K30" s="35"/>
      <c r="L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MAX(0,F32-$M$17)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6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N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3"/>
      <c r="J7" s="33"/>
      <c r="K7" s="35"/>
      <c r="L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  <c r="N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43"/>
      <c r="J27" s="33"/>
      <c r="K27" s="35"/>
      <c r="L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43"/>
      <c r="J28" s="33"/>
      <c r="K28" s="35"/>
      <c r="L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P37"/>
  <sheetViews>
    <sheetView workbookViewId="0">
      <selection activeCell="O15" sqref="O1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6"/>
      <c r="K3" s="35"/>
      <c r="M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>
        <v>0.375</v>
      </c>
      <c r="D4" s="19">
        <v>0.75</v>
      </c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45"/>
      <c r="J11" s="33"/>
      <c r="K11" s="35"/>
      <c r="L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  <c r="P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45"/>
      <c r="J16" s="33"/>
      <c r="K16" s="35"/>
      <c r="L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5"/>
      <c r="J17" s="33"/>
      <c r="K17" s="35"/>
      <c r="L17" s="23"/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5" t="s">
        <v>66</v>
      </c>
      <c r="J18" s="33"/>
      <c r="K18" s="35"/>
      <c r="L18" s="23"/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45"/>
      <c r="J25" s="33"/>
      <c r="K25" s="35"/>
      <c r="L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33"/>
      <c r="K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36"/>
  <sheetViews>
    <sheetView workbookViewId="0">
      <selection activeCell="M17" sqref="M17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89</v>
      </c>
      <c r="M2" s="70">
        <f>IF(설정!$B$10="예","",'7월'!$F$33)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90</v>
      </c>
      <c r="M3" s="70">
        <f>IF(설정!$B$10="예","",'8월'!$F$33)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91</v>
      </c>
      <c r="M4" s="70">
        <f>IF(설정!$B$10="예","",'9월'!$F$32)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7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7"/>
      <c r="J8" s="33"/>
      <c r="K8" s="35"/>
      <c r="L8" s="23" t="s">
        <v>95</v>
      </c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8"/>
      <c r="J10" s="33"/>
      <c r="K10" s="35"/>
      <c r="L10" s="26" t="inlineStr">
        <is>
          <t>7월</t>
        </is>
      </c>
      <c r="M10" s="15">
        <f>'7월'!$H$33</f>
        <v/>
      </c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8월</t>
        </is>
      </c>
      <c r="M11" s="15">
        <f>'8월'!$H$33</f>
        <v/>
      </c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9월</t>
        </is>
      </c>
      <c r="M12" s="15">
        <f>'9월'!$H$32</f>
        <v/>
      </c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47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7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6"/>
      <c r="J17" s="33"/>
      <c r="K17" s="35"/>
      <c r="L17" s="26" t="inlineStr">
        <is>
          <t>월상한시간</t>
        </is>
      </c>
      <c r="M17" s="67">
        <f>IF(설정!$B$10="예",MAX(0,VALUE(설정!$B$3))/24,MAX(0,VALUE(설정!$B$8)/24-SUM(M2:M3)))</f>
        <v/>
      </c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6"/>
      <c r="J18" s="33"/>
      <c r="K18" s="35"/>
      <c r="L18" s="23"/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6"/>
      <c r="J19" s="33"/>
      <c r="K19" s="35"/>
      <c r="L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6"/>
      <c r="J22" s="33"/>
      <c r="K22" s="35"/>
      <c r="L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69</v>
      </c>
      <c r="J26" s="33"/>
      <c r="K26" s="35"/>
      <c r="L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MAX(0,F32-$M$17)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3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9"/>
      <c r="J4" s="33"/>
      <c r="K4" s="35"/>
      <c r="L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9"/>
      <c r="J5" s="33"/>
      <c r="K5" s="35"/>
      <c r="L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 t="s">
        <v>66</v>
      </c>
      <c r="J6" s="33"/>
      <c r="K6" s="35"/>
      <c r="L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9"/>
      <c r="J8" s="33"/>
      <c r="K8" s="35"/>
      <c r="L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49"/>
      <c r="J9" s="33"/>
      <c r="K9" s="35"/>
      <c r="L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9" t="s">
        <v>70</v>
      </c>
      <c r="J10" s="33"/>
      <c r="K10" s="35"/>
      <c r="L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9"/>
      <c r="J19" s="33"/>
      <c r="K19" s="35"/>
      <c r="L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49"/>
      <c r="J20" s="33"/>
      <c r="K20" s="35"/>
      <c r="L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M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54"/>
      <c r="M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50"/>
      <c r="J16" s="33"/>
      <c r="K16" s="35"/>
      <c r="L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50"/>
      <c r="J17" s="33"/>
      <c r="K17" s="35"/>
      <c r="L17" s="23"/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51"/>
      <c r="J23" s="33"/>
      <c r="K23" s="35"/>
      <c r="L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50"/>
      <c r="J24" s="33"/>
      <c r="K24" s="35"/>
      <c r="L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0"/>
      <c r="J30" s="33"/>
      <c r="K30" s="35"/>
      <c r="L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0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M37"/>
  <sheetViews>
    <sheetView workbookViewId="0">
      <selection activeCell="P21" sqref="P21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92</v>
      </c>
      <c r="M2" s="70">
        <f>IF(설정!$B$10="예","",'10월'!$F$33)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L3" s="63" t="s">
        <v>93</v>
      </c>
      <c r="M3" s="70">
        <f>IF(설정!$B$10="예","",'11월'!$F$32)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94</v>
      </c>
      <c r="M4" s="70">
        <f>IF(설정!$B$10="예","",'12월'!$F$33)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10월</t>
        </is>
      </c>
      <c r="M10" s="15">
        <f>'10월'!$H$33</f>
        <v/>
      </c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11월</t>
        </is>
      </c>
      <c r="M11" s="15">
        <f>'11월'!$H$32</f>
        <v/>
      </c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12월</t>
        </is>
      </c>
      <c r="M12" s="15">
        <f>'12월'!$H$33</f>
        <v/>
      </c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67">
        <f>IF(설정!$B$10="예",MAX(0,VALUE(설정!$B$3))/24,MAX(0,VALUE(설정!$B$8)/24-SUM(M2:M3)))</f>
        <v/>
      </c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71</v>
      </c>
      <c r="J26" s="33"/>
      <c r="K26" s="35"/>
      <c r="L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MAX(0,F33-$M$17)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0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J1:J1048576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2026-10-01T07:55:08Z</dcterms:modified>
</cp:coreProperties>
</file>