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종은\"/>
    </mc:Choice>
  </mc:AlternateContent>
  <xr:revisionPtr revIDLastSave="0" documentId="13_ncr:1_{54822C0D-1918-40E8-BA43-56A5F412D613}" xr6:coauthVersionLast="47" xr6:coauthVersionMax="47" xr10:uidLastSave="{00000000-0000-0000-0000-000000000000}"/>
  <bookViews>
    <workbookView xWindow="28680" yWindow="-120" windowWidth="29040" windowHeight="15720" activeTab="2" xr2:uid="{00000000-000D-0000-FFFF-FFFF00000000}"/>
  </bookViews>
  <sheets>
    <sheet name="설정" sheetId="40" r:id="rId1"/>
    <sheet name="급량" sheetId="39" r:id="rId2"/>
    <sheet name="1월" sheetId="8" r:id="rId3"/>
    <sheet name="2월" sheetId="21" r:id="rId4"/>
    <sheet name="3월" sheetId="23" r:id="rId5"/>
    <sheet name="4월" sheetId="24" r:id="rId6"/>
    <sheet name="5월" sheetId="25" r:id="rId7"/>
    <sheet name="6월" sheetId="26" r:id="rId8"/>
    <sheet name="7월" sheetId="27" r:id="rId9"/>
    <sheet name="8월" sheetId="28" r:id="rId10"/>
    <sheet name="9월" sheetId="29" r:id="rId11"/>
    <sheet name="10월" sheetId="30" r:id="rId12"/>
    <sheet name="11월" sheetId="31" r:id="rId13"/>
    <sheet name="12월" sheetId="32" r:id="rId14"/>
  </sheets>
  <definedNames>
    <definedName name="_xlnm._FilterDatabase" localSheetId="2" hidden="1">'1월'!$A$1:$N$36</definedName>
    <definedName name="_xlpm.e" hidden="1" xlm="1">#NAME?</definedName>
    <definedName name="_xlpm.m" hidden="1" xlm="1">#NAME?</definedName>
    <definedName name="_xlpm.s" hidden="1" xlm="1">#NAME?</definedName>
    <definedName name="_xlpm.sh" hidden="1" xlm="1">#NAME?</definedName>
    <definedName name="_xlpm.y" hidden="1" xlm="1">#NAME?</definedName>
  </definedNames>
  <calcPr calcId="191029" calcMode="auto" fullCalcOnLoad="1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<sst xmlns="http://schemas.openxmlformats.org/spreadsheetml/2006/main" count="669" uniqueCount="97">
  <si>
    <t>출근시간</t>
    <phoneticPr fontId="1" type="noConversion"/>
  </si>
  <si>
    <t>퇴근시간</t>
    <phoneticPr fontId="1" type="noConversion"/>
  </si>
  <si>
    <t>일일초과</t>
    <phoneticPr fontId="1" type="noConversion"/>
  </si>
  <si>
    <t>오전급량</t>
    <phoneticPr fontId="1" type="noConversion"/>
  </si>
  <si>
    <t>오후급량</t>
    <phoneticPr fontId="1" type="noConversion"/>
  </si>
  <si>
    <t>초과시간</t>
    <phoneticPr fontId="1" type="noConversion"/>
  </si>
  <si>
    <t>상한미달</t>
    <phoneticPr fontId="1" type="noConversion"/>
  </si>
  <si>
    <t>월 급량</t>
    <phoneticPr fontId="1" type="noConversion"/>
  </si>
  <si>
    <t>상한초과</t>
    <phoneticPr fontId="1" type="noConversion"/>
  </si>
  <si>
    <t>비고</t>
    <phoneticPr fontId="1" type="noConversion"/>
  </si>
  <si>
    <t>돼닭</t>
    <phoneticPr fontId="1" type="noConversion"/>
  </si>
  <si>
    <t>짱구네</t>
    <phoneticPr fontId="1" type="noConversion"/>
  </si>
  <si>
    <t>1월</t>
    <phoneticPr fontId="1" type="noConversion"/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</si>
  <si>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</si>
  <si>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</si>
  <si>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</si>
  <si>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</si>
  <si>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</si>
  <si>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</si>
  <si>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</si>
  <si>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</si>
  <si>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</si>
  <si>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</si>
  <si>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</si>
  <si>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피자스쿨</t>
    <phoneticPr fontId="1" type="noConversion"/>
  </si>
  <si>
    <t>보글이</t>
    <phoneticPr fontId="1" type="noConversion"/>
  </si>
  <si>
    <t>빽다방</t>
    <phoneticPr fontId="1" type="noConversion"/>
  </si>
  <si>
    <t>이월</t>
    <phoneticPr fontId="1" type="noConversion"/>
  </si>
  <si>
    <t>사용금액</t>
    <phoneticPr fontId="1" type="noConversion"/>
  </si>
  <si>
    <t>급량사용</t>
    <phoneticPr fontId="1" type="noConversion"/>
  </si>
  <si>
    <t>잔여</t>
    <phoneticPr fontId="1" type="noConversion"/>
  </si>
  <si>
    <t>사용</t>
    <phoneticPr fontId="1" type="noConversion"/>
  </si>
  <si>
    <t>휴근</t>
    <phoneticPr fontId="1" type="noConversion"/>
  </si>
  <si>
    <t>라온김밥</t>
    <phoneticPr fontId="1" type="noConversion"/>
  </si>
  <si>
    <t>명인갈비</t>
    <phoneticPr fontId="1" type="noConversion"/>
  </si>
  <si>
    <t>시작시간</t>
    <phoneticPr fontId="1" type="noConversion"/>
  </si>
  <si>
    <t>종료시간</t>
    <phoneticPr fontId="1" type="noConversion"/>
  </si>
  <si>
    <t>상한시간</t>
    <phoneticPr fontId="1" type="noConversion"/>
  </si>
  <si>
    <t>기준년도</t>
    <phoneticPr fontId="1" type="noConversion"/>
  </si>
  <si>
    <t>예</t>
  </si>
  <si>
    <t>사용설명서</t>
    <phoneticPr fontId="1" type="noConversion"/>
  </si>
  <si>
    <t>휴일</t>
  </si>
  <si>
    <t>휴일</t>
    <phoneticPr fontId="1" type="noConversion"/>
  </si>
  <si>
    <t>평일</t>
    <phoneticPr fontId="1" type="noConversion"/>
  </si>
  <si>
    <t>휴일여부</t>
    <phoneticPr fontId="1" type="noConversion"/>
  </si>
  <si>
    <t>아니오</t>
  </si>
  <si>
    <t>일일상한</t>
    <phoneticPr fontId="1" type="noConversion"/>
  </si>
  <si>
    <t>휴일초근</t>
    <phoneticPr fontId="1" type="noConversion"/>
  </si>
  <si>
    <t>급량 시트에 총 사용금액과 잔여금액이 표시됩니다.</t>
    <phoneticPr fontId="1" type="noConversion"/>
  </si>
  <si>
    <t>급량비 관리</t>
    <phoneticPr fontId="1" type="noConversion"/>
  </si>
  <si>
    <t>각 월별 시트에 급량비 사용가게를 드롭다운 메뉴로 선택하고 순서상관없이 사용금액을 입력합니다.</t>
    <phoneticPr fontId="1" type="noConversion"/>
  </si>
  <si>
    <t>일일 초과근무 인정 상한시간</t>
    <phoneticPr fontId="1" type="noConversion"/>
  </si>
  <si>
    <t>월별 초과근무 인정 상한시간</t>
    <phoneticPr fontId="1" type="noConversion"/>
  </si>
  <si>
    <t>초과근무 시작가능시간</t>
    <phoneticPr fontId="1" type="noConversion"/>
  </si>
  <si>
    <t>초과근무 종료상한시간</t>
    <phoneticPr fontId="1" type="noConversion"/>
  </si>
  <si>
    <t>휴일근무가 초과근무 시간으로 인정되는지 여부(휴근수당 받는경우 아니오)</t>
    <phoneticPr fontId="1" type="noConversion"/>
  </si>
  <si>
    <t>설명</t>
    <phoneticPr fontId="1" type="noConversion"/>
  </si>
  <si>
    <t>보안경고가 뜨는 경우 매크로 활성화 해야 재생성 버튼 작동합니다.</t>
    <phoneticPr fontId="1" type="noConversion"/>
  </si>
  <si>
    <t>급량시트 각 월별 열에 급량비 신청금액을 입력합니다.</t>
    <phoneticPr fontId="1" type="noConversion"/>
  </si>
  <si>
    <t>급량시트 이월 열에 전년도 이월된 급량비 잔액을 입력합니다.</t>
    <phoneticPr fontId="1" type="noConversion"/>
  </si>
  <si>
    <t>급량 시트 A열에 가게 이름을 문자열로 입력합니다. (A열에 무제한 추가 가능)</t>
    <phoneticPr fontId="1" type="noConversion"/>
  </si>
  <si>
    <t>휴일초근 "예"일때 휴일 근무시간 입력 &gt; 설정한 일일상한까지 초과시간 합산, 1:01 이상 근무시 급량+1</t>
    <phoneticPr fontId="1" type="noConversion"/>
  </si>
  <si>
    <t>휴일초근 "아니오"일때 휴일 근무시간 입력 &gt; 입력한 셀만큼 휴근에 몇 개인지 표시, 휴근수당지급단가를 곱하여 이번월에 받을 휴근수당을 계산할 수 있습니다.</t>
    <phoneticPr fontId="1" type="noConversion"/>
  </si>
  <si>
    <t>평일 출근시간 7:59까지 급량+1, 퇴근시간 19:01부터 급량+1, 월 상한 20개</t>
    <phoneticPr fontId="1" type="noConversion"/>
  </si>
  <si>
    <t>!! 반가,지각,조퇴 사용시 실제 출퇴근 시각에 관계없이 시작시간 09:00(오전), 종료시간 18:00(오후) 기본값으로 입력합니다.</t>
    <phoneticPr fontId="1" type="noConversion"/>
  </si>
  <si>
    <t>설날</t>
    <phoneticPr fontId="1" type="noConversion"/>
  </si>
  <si>
    <t>대체공휴일</t>
    <phoneticPr fontId="1" type="noConversion"/>
  </si>
  <si>
    <t>어린이날</t>
    <phoneticPr fontId="1" type="noConversion"/>
  </si>
  <si>
    <t>지방선거일</t>
    <phoneticPr fontId="1" type="noConversion"/>
  </si>
  <si>
    <t>추석</t>
    <phoneticPr fontId="1" type="noConversion"/>
  </si>
  <si>
    <t>한글날</t>
    <phoneticPr fontId="1" type="noConversion"/>
  </si>
  <si>
    <t>크리스마스</t>
    <phoneticPr fontId="1" type="noConversion"/>
  </si>
  <si>
    <t>처음 사용시(다음년도 파일 생성시)</t>
    <phoneticPr fontId="1" type="noConversion"/>
  </si>
  <si>
    <t>1.기준년도를 숫자로 입력합니다.</t>
    <phoneticPr fontId="1" type="noConversion"/>
  </si>
  <si>
    <t>2.재생성 버튼을 눌러 토,일요일을 자동으로 휴일로 설정합니다.</t>
    <phoneticPr fontId="1" type="noConversion"/>
  </si>
  <si>
    <t>3.각 월별 시트에서 B열 드롭다운 메뉴를 이용해 공휴일을 평일&gt;휴일로 수정합니다. (공휴일 수동지정: 선거일, 대체공휴일, 음력기준 휴일 등)</t>
    <phoneticPr fontId="1" type="noConversion"/>
  </si>
  <si>
    <t>4.설정시트에서 현업,비현업별 설정값을 입력합니다. (수정가능)</t>
    <phoneticPr fontId="1" type="noConversion"/>
  </si>
  <si>
    <t>##설정시트에서는 B열 입력값만 그대로 수정하시고 위치를 옮기거나 입력양식을 임의로 변경하지 마세요.##</t>
    <phoneticPr fontId="1" type="noConversion"/>
  </si>
  <si>
    <t>현업(예시)</t>
    <phoneticPr fontId="1" type="noConversion"/>
  </si>
  <si>
    <t>일반(예시)</t>
    <phoneticPr fontId="1" type="noConversion"/>
  </si>
  <si>
    <t>각 월별 시트에서 출근시간, 퇴근시간을 hh:mm서식에 맞추어 입력합니다. 기존 입력된 값을 복사, 수정하여 사용하는 것을 권장합니다.</t>
    <phoneticPr fontId="1" type="noConversion"/>
  </si>
  <si>
    <t>2월</t>
    <phoneticPr fontId="1" type="noConversion"/>
  </si>
  <si>
    <t>3월</t>
    <phoneticPr fontId="1" type="noConversion"/>
  </si>
  <si>
    <t>분기상한</t>
    <phoneticPr fontId="1" type="noConversion"/>
  </si>
  <si>
    <t>분기미달</t>
    <phoneticPr fontId="1" type="noConversion"/>
  </si>
  <si>
    <t>분기초과</t>
    <phoneticPr fontId="1" type="noConversion"/>
  </si>
  <si>
    <t>4월</t>
    <phoneticPr fontId="1" type="noConversion"/>
  </si>
  <si>
    <t>5월</t>
    <phoneticPr fontId="1" type="noConversion"/>
  </si>
  <si>
    <t>6월</t>
    <phoneticPr fontId="1" type="noConversion"/>
  </si>
  <si>
    <t>7월</t>
    <phoneticPr fontId="1" type="noConversion"/>
  </si>
  <si>
    <t>8월</t>
    <phoneticPr fontId="1" type="noConversion"/>
  </si>
  <si>
    <t>9월</t>
    <phoneticPr fontId="1" type="noConversion"/>
  </si>
  <si>
    <t>10월</t>
    <phoneticPr fontId="1" type="noConversion"/>
  </si>
  <si>
    <t>11월</t>
    <phoneticPr fontId="1" type="noConversion"/>
  </si>
  <si>
    <t>12월</t>
    <phoneticPr fontId="1" type="noConversion"/>
  </si>
  <si>
    <t>*현업제외</t>
    <phoneticPr fontId="1" type="noConversion"/>
  </si>
  <si>
    <t>**제외시간은 월별 E열에서 날짜별 수정 가능합니다. 평일 기본 1:00, 휴일 기본 0:00.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</si>
</sst>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-&quot;₩&quot;* #,##0_-;\-&quot;₩&quot;* #,##0_-;_-&quot;₩&quot;* &quot;-&quot;_-;_-@_-"/>
    <numFmt numFmtId="41" formatCode="_-* #,##0_-;\-* #,##0_-;_-* &quot;-&quot;_-;_-@_-"/>
    <numFmt numFmtId="176" formatCode="mm&quot;월&quot;\ dd&quot;일&quot;"/>
    <numFmt numFmtId="177" formatCode="h:mm;@"/>
    <numFmt numFmtId="178" formatCode="[h]:mm"/>
    <numFmt numFmtId="179" formatCode="[hh]:mm"/>
    <numFmt numFmtId="180" formatCode="0_);[Red]\(0\)"/>
    <numFmt numFmtId="181" formatCode="hh:mm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rgb="FFF2F2F2"/>
      </patternFill>
    </fill>
    <fill>
      <patternFill patternType="solid">
        <fgColor rgb="FFFFFFCC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 diagonalUp="1"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 style="double">
        <color rgb="FF3F3F3F"/>
      </diagonal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double">
        <color rgb="FF3F3F3F"/>
      </right>
      <top style="double">
        <color rgb="FF3F3F3F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double">
        <color rgb="FF3F3F3F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double">
        <color rgb="FF3F3F3F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rgb="FF3F3F3F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5" fillId="4" borderId="2" applyNumberFormat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6" borderId="14" applyNumberFormat="0" applyAlignment="0" applyProtection="0">
      <alignment vertical="center"/>
    </xf>
    <xf numFmtId="0" fontId="7" fillId="7" borderId="18" applyNumberFormat="0" applyFont="0" applyAlignment="0" applyProtection="0">
      <alignment vertical="center"/>
    </xf>
  </cellStyleXfs>
  <cellXfs count="75">
    <xf numFmtId="0" fontId="0" fillId="0" borderId="0" xfId="0">
      <alignment vertic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3" borderId="0" xfId="2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7" fontId="0" fillId="0" borderId="1" xfId="0" applyNumberFormat="1" applyBorder="1" applyAlignment="1">
      <alignment vertical="center"/>
    </xf>
    <xf numFmtId="176" fontId="2" fillId="5" borderId="1" xfId="0" applyNumberFormat="1" applyFont="1" applyFill="1" applyBorder="1" applyAlignment="1">
      <alignment horizontal="center" vertical="center"/>
    </xf>
    <xf numFmtId="177" fontId="6" fillId="0" borderId="0" xfId="0" applyNumberFormat="1" applyFont="1" applyBorder="1" applyAlignment="1">
      <alignment horizontal="center" vertical="center"/>
    </xf>
    <xf numFmtId="179" fontId="4" fillId="3" borderId="0" xfId="2" applyNumberFormat="1" applyAlignment="1">
      <alignment horizontal="center" vertical="center"/>
    </xf>
    <xf numFmtId="178" fontId="3" fillId="2" borderId="0" xfId="1" applyNumberFormat="1" applyBorder="1" applyAlignment="1">
      <alignment horizontal="center" vertical="center"/>
    </xf>
    <xf numFmtId="0" fontId="3" fillId="2" borderId="0" xfId="1" applyBorder="1" applyAlignment="1">
      <alignment horizontal="center" vertical="center"/>
    </xf>
    <xf numFmtId="0" fontId="5" fillId="4" borderId="2" xfId="3" applyAlignment="1">
      <alignment horizontal="center" vertical="center"/>
    </xf>
    <xf numFmtId="177" fontId="5" fillId="4" borderId="2" xfId="3" applyNumberFormat="1" applyAlignment="1">
      <alignment horizontal="center" vertical="center"/>
    </xf>
    <xf numFmtId="0" fontId="5" fillId="4" borderId="3" xfId="3" applyBorder="1" applyAlignment="1">
      <alignment horizontal="center" vertical="center"/>
    </xf>
    <xf numFmtId="0" fontId="4" fillId="3" borderId="0" xfId="2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180" fontId="0" fillId="0" borderId="0" xfId="0" applyNumberFormat="1" applyAlignment="1">
      <alignment horizontal="center" vertical="center"/>
    </xf>
    <xf numFmtId="180" fontId="0" fillId="0" borderId="0" xfId="0" applyNumberFormat="1" applyBorder="1" applyAlignment="1">
      <alignment horizontal="center" vertical="center"/>
    </xf>
    <xf numFmtId="180" fontId="0" fillId="0" borderId="0" xfId="0" applyNumberFormat="1">
      <alignment vertical="center"/>
    </xf>
    <xf numFmtId="0" fontId="0" fillId="0" borderId="0" xfId="0" applyBorder="1" applyAlignment="1">
      <alignment horizontal="center" vertical="center"/>
    </xf>
    <xf numFmtId="180" fontId="5" fillId="4" borderId="2" xfId="3" applyNumberFormat="1" applyAlignment="1">
      <alignment horizontal="center" vertical="center"/>
    </xf>
    <xf numFmtId="41" fontId="0" fillId="0" borderId="4" xfId="4" applyFont="1" applyBorder="1">
      <alignment vertical="center"/>
    </xf>
    <xf numFmtId="41" fontId="4" fillId="3" borderId="5" xfId="4" applyFont="1" applyFill="1" applyBorder="1">
      <alignment vertical="center"/>
    </xf>
    <xf numFmtId="41" fontId="3" fillId="2" borderId="4" xfId="4" applyFont="1" applyFill="1" applyBorder="1">
      <alignment vertical="center"/>
    </xf>
    <xf numFmtId="0" fontId="0" fillId="0" borderId="0" xfId="0" applyBorder="1" applyAlignment="1">
      <alignment horizontal="center" vertical="center"/>
    </xf>
    <xf numFmtId="0" fontId="5" fillId="4" borderId="6" xfId="3" applyBorder="1" applyAlignment="1">
      <alignment horizontal="center" vertical="center"/>
    </xf>
    <xf numFmtId="0" fontId="5" fillId="4" borderId="7" xfId="3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41" fontId="5" fillId="4" borderId="9" xfId="4" applyFont="1" applyFill="1" applyBorder="1" applyAlignment="1">
      <alignment horizontal="center" vertical="center"/>
    </xf>
    <xf numFmtId="41" fontId="0" fillId="0" borderId="10" xfId="4" applyFont="1" applyBorder="1" applyAlignment="1">
      <alignment horizontal="center" vertical="center"/>
    </xf>
    <xf numFmtId="0" fontId="0" fillId="0" borderId="8" xfId="0" applyBorder="1">
      <alignment vertical="center"/>
    </xf>
    <xf numFmtId="0" fontId="0" fillId="0" borderId="8" xfId="0" applyBorder="1" applyAlignment="1">
      <alignment horizontal="left" vertical="center"/>
    </xf>
    <xf numFmtId="41" fontId="0" fillId="0" borderId="8" xfId="4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>
      <alignment vertical="center"/>
    </xf>
    <xf numFmtId="0" fontId="0" fillId="0" borderId="4" xfId="0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2" fontId="0" fillId="0" borderId="4" xfId="4" applyNumberFormat="1" applyFont="1" applyBorder="1">
      <alignment vertical="center"/>
    </xf>
    <xf numFmtId="41" fontId="0" fillId="0" borderId="0" xfId="4" applyFont="1" applyAlignment="1">
      <alignment horizontal="center" vertical="center"/>
    </xf>
    <xf numFmtId="41" fontId="0" fillId="0" borderId="10" xfId="4" applyFont="1" applyBorder="1">
      <alignment vertical="center"/>
    </xf>
    <xf numFmtId="0" fontId="0" fillId="0" borderId="0" xfId="0" applyBorder="1" applyAlignment="1">
      <alignment horizontal="center" vertical="center"/>
    </xf>
    <xf numFmtId="0" fontId="5" fillId="4" borderId="2" xfId="3" applyBorder="1" applyAlignment="1">
      <alignment horizontal="center" vertical="center"/>
    </xf>
    <xf numFmtId="176" fontId="9" fillId="5" borderId="1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18" fontId="0" fillId="0" borderId="0" xfId="0" applyNumberFormat="1">
      <alignment vertical="center"/>
    </xf>
    <xf numFmtId="0" fontId="8" fillId="6" borderId="14" xfId="5">
      <alignment vertical="center"/>
    </xf>
    <xf numFmtId="0" fontId="8" fillId="6" borderId="15" xfId="5" applyBorder="1">
      <alignment vertical="center"/>
    </xf>
    <xf numFmtId="0" fontId="0" fillId="0" borderId="1" xfId="0" applyBorder="1">
      <alignment vertical="center"/>
    </xf>
    <xf numFmtId="180" fontId="0" fillId="0" borderId="8" xfId="0" applyNumberFormat="1" applyBorder="1" applyAlignment="1">
      <alignment horizontal="center" vertical="center"/>
    </xf>
    <xf numFmtId="177" fontId="6" fillId="0" borderId="8" xfId="0" applyNumberFormat="1" applyFont="1" applyBorder="1" applyAlignment="1">
      <alignment horizontal="center" vertical="center"/>
    </xf>
    <xf numFmtId="178" fontId="3" fillId="2" borderId="10" xfId="1" applyNumberFormat="1" applyBorder="1" applyAlignment="1">
      <alignment horizontal="center" vertical="center"/>
    </xf>
    <xf numFmtId="177" fontId="0" fillId="0" borderId="8" xfId="0" applyNumberFormat="1" applyBorder="1" applyAlignment="1">
      <alignment horizontal="center" vertical="center"/>
    </xf>
    <xf numFmtId="179" fontId="4" fillId="3" borderId="10" xfId="2" applyNumberForma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79" fontId="4" fillId="3" borderId="17" xfId="2" applyNumberFormat="1" applyBorder="1" applyAlignment="1">
      <alignment horizontal="center" vertical="center"/>
    </xf>
    <xf numFmtId="178" fontId="0" fillId="0" borderId="10" xfId="0" applyNumberFormat="1" applyBorder="1" applyAlignment="1">
      <alignment horizontal="center" vertical="center"/>
    </xf>
    <xf numFmtId="0" fontId="0" fillId="7" borderId="18" xfId="6" applyFont="1" applyAlignment="1">
      <alignment horizontal="center" vertical="center"/>
    </xf>
    <xf numFmtId="181" fontId="5" fillId="4" borderId="2" xfId="3" applyNumberFormat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</cellXfs>
  <cellStyles count="7">
    <cellStyle name="계산" xfId="5" builtinId="22"/>
    <cellStyle name="메모" xfId="6" builtinId="10"/>
    <cellStyle name="보통" xfId="2" builtinId="28"/>
    <cellStyle name="셀 확인" xfId="3" builtinId="23"/>
    <cellStyle name="쉼표 [0]" xfId="4" builtinId="6"/>
    <cellStyle name="좋음" xfId="1" builtinId="26"/>
    <cellStyle name="표준" xfId="0" builtinId="0"/>
  </cellStyles>
  <dxfs count="12"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DD7D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3097" name="btnRegenerate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9E7E1441-52C9-498F-8DBB-70DE9ABE59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재생성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FE900-8A93-4581-9115-8BBDB49816DB}">
  <sheetPr codeName="Sheet1"/>
  <dimension ref="A1:K31"/>
  <sheetViews>
    <sheetView workbookViewId="0">
      <selection activeCell="C24" sqref="C24"/>
    </sheetView>
  </sheetViews>
  <sheetFormatPr defaultRowHeight="16.5"/>
  <cols>
    <col min="1" max="1" width="12.5" customWidth="1"/>
    <col min="5" max="5" width="10.25" customWidth="1"/>
  </cols>
  <sheetData>
    <row r="1" spans="1:11" ht="17.25" thickBot="1">
      <c r="A1" s="60" t="s">
        <v>38</v>
      </c>
      <c r="B1" s="71">
        <v>2026</v>
      </c>
      <c r="E1" t="s">
        <v>77</v>
      </c>
    </row>
    <row r="2" spans="1:11" ht="18" thickTop="1" thickBot="1">
      <c r="A2" s="61" t="s">
        <v>46</v>
      </c>
      <c r="B2" s="15">
        <v>8</v>
      </c>
    </row>
    <row r="3" spans="1:11" ht="18" thickTop="1" thickBot="1">
      <c r="A3" s="61" t="inlineStr">
        <is>
          <t>월상한</t>
        </is>
      </c>
      <c r="B3" s="15">
        <v>67</v>
      </c>
      <c r="E3" t="s">
        <v>40</v>
      </c>
    </row>
    <row r="4" spans="1:11" ht="18" thickTop="1" thickBot="1">
      <c r="A4" s="61" t="s">
        <v>35</v>
      </c>
      <c r="B4" s="72">
        <v>0.25</v>
      </c>
      <c r="E4" t="s">
        <v>57</v>
      </c>
    </row>
    <row r="5" spans="1:11" ht="18" thickTop="1" thickBot="1">
      <c r="A5" s="61" t="s">
        <v>36</v>
      </c>
      <c r="B5" s="72">
        <v>0.95833333333333337</v>
      </c>
      <c r="E5" t="s">
        <v>72</v>
      </c>
    </row>
    <row r="6" spans="1:11" ht="18" thickTop="1" thickBot="1">
      <c r="A6" s="61" t="s">
        <v>47</v>
      </c>
      <c r="B6" s="15" t="s">
        <v>39</v>
      </c>
      <c r="E6" t="s">
        <v>73</v>
      </c>
    </row>
    <row r="7" spans="1:11" ht="17.25" thickTop="1">
      <c r="A7" s="61" t="inlineStr">
        <is>
          <t>월급량상한</t>
        </is>
      </c>
      <c r="B7" s="15">
        <v>25</v>
      </c>
      <c r="E7" t="s">
        <v>74</v>
      </c>
    </row>
    <row r="8" spans="1:11">
      <c r="A8" s="61" t="inlineStr">
        <is>
          <t>분기상한</t>
        </is>
      </c>
      <c r="B8" s="15">
        <v>177</v>
      </c>
      <c r="E8" t="s">
        <v>75</v>
      </c>
    </row>
    <row r="9" spans="1:11">
      <c r="A9" s="61" t="inlineStr">
        <is>
          <t>분기급량상한</t>
        </is>
      </c>
      <c r="B9" s="15">
        <v>60</v>
      </c>
      <c r="E9" t="s">
        <v>76</v>
      </c>
    </row>
    <row r="10">
      <c r="E10" t="inlineStr">
        <is>
          <t>5. 월급량상한(B7), 분기상한(B8)도 필요에 따라 수정할 수 있습니다.</t>
        </is>
      </c>
    </row>
    <row r="11" spans="1:11" ht="17.25" thickBot="1">
      <c r="E11" t="s">
        <v>78</v>
      </c>
      <c r="H11" t="s">
        <v>79</v>
      </c>
      <c r="K11" t="s">
        <v>56</v>
      </c>
    </row>
    <row r="12" spans="1:11" ht="18" thickTop="1" thickBot="1">
      <c r="E12" s="62" t="s">
        <v>46</v>
      </c>
      <c r="F12" s="15">
        <v>8</v>
      </c>
      <c r="H12" s="62" t="s">
        <v>46</v>
      </c>
      <c r="I12" s="15">
        <v>8</v>
      </c>
      <c r="K12" t="s">
        <v>51</v>
      </c>
    </row>
    <row r="13" spans="1:11" ht="18" thickTop="1" thickBot="1">
      <c r="E13" s="62" t="inlineStr">
        <is>
          <t>월상한</t>
        </is>
      </c>
      <c r="F13" s="15">
        <v>67</v>
      </c>
      <c r="H13" s="62" t="inlineStr">
        <is>
          <t>월상한</t>
        </is>
      </c>
      <c r="I13" s="15">
        <v>49</v>
      </c>
      <c r="K13" t="s">
        <v>52</v>
      </c>
    </row>
    <row r="14" spans="1:11" ht="18" thickTop="1" thickBot="1">
      <c r="E14" s="62" t="s">
        <v>35</v>
      </c>
      <c r="F14" s="72">
        <v>0.16666666666666666</v>
      </c>
      <c r="H14" s="62" t="s">
        <v>35</v>
      </c>
      <c r="I14" s="72">
        <v>0.25</v>
      </c>
      <c r="K14" t="s">
        <v>53</v>
      </c>
    </row>
    <row r="15" spans="1:11" ht="18" thickTop="1" thickBot="1">
      <c r="E15" s="62" t="s">
        <v>36</v>
      </c>
      <c r="F15" s="72">
        <v>0.95833333333333337</v>
      </c>
      <c r="H15" s="62" t="s">
        <v>36</v>
      </c>
      <c r="I15" s="72">
        <v>0.91666666666666663</v>
      </c>
      <c r="K15" t="s">
        <v>54</v>
      </c>
    </row>
    <row r="16" spans="1:11" ht="18" thickTop="1" thickBot="1">
      <c r="E16" s="62" t="s">
        <v>47</v>
      </c>
      <c r="F16" s="15" t="s">
        <v>45</v>
      </c>
      <c r="H16" s="62" t="s">
        <v>47</v>
      </c>
      <c r="I16" s="15" t="s">
        <v>39</v>
      </c>
      <c r="K16" t="s">
        <v>55</v>
      </c>
    </row>
    <row r="17" spans="5:5" ht="17.25" thickTop="1"/>
    <row r="18" spans="5:5">
      <c r="E18" t="s">
        <v>80</v>
      </c>
    </row>
    <row r="19" spans="5:5">
      <c r="E19" t="s">
        <v>64</v>
      </c>
    </row>
    <row r="20" spans="5:5">
      <c r="E20" t="s">
        <v>96</v>
      </c>
    </row>
    <row r="22" spans="5:5">
      <c r="E22" t="inlineStr">
        <is>
          <t>평일 출근시간 7:59까지 급량+1, 퇴근시간 19:01부터 급량+1, 월 급량상한은 설정값(B7) 적용</t>
        </is>
      </c>
    </row>
    <row r="23" spans="5:5">
      <c r="E23" t="inlineStr">
        <is>
          <t>휴일초근 "예"일때 휴일 근무시간 입력 &gt; 설정한 일일상한까지 초과시간 합산, 1:01 이상 근무시 급량+1</t>
        </is>
      </c>
    </row>
    <row r="24" spans="5:5">
      <c r="E24" t="s">
        <v>62</v>
      </c>
    </row>
    <row r="26" spans="5:5">
      <c r="E26" t="s">
        <v>49</v>
      </c>
    </row>
    <row r="27" spans="5:5">
      <c r="E27" t="s">
        <v>60</v>
      </c>
    </row>
    <row r="28" spans="5:5">
      <c r="E28" t="s">
        <v>59</v>
      </c>
    </row>
    <row r="29" spans="5:5">
      <c r="E29" t="s">
        <v>58</v>
      </c>
    </row>
    <row r="30" spans="5:5">
      <c r="E30" t="s">
        <v>50</v>
      </c>
    </row>
    <row r="31" spans="5:5">
      <c r="E31" t="s">
        <v>48</v>
      </c>
    </row>
  </sheetData>
  <phoneticPr fontId="1" type="noConversion"/>
  <dataValidations count="1">
    <dataValidation type="list" allowBlank="1" showInputMessage="1" showErrorMessage="1" sqref="I16 F16 B6" xr:uid="{F109FF6E-09C0-4365-A0B9-861B29189246}">
      <formula1>"예,아니오"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7" r:id="rId4" name="btnRegenerate">
              <controlPr defaultSize="0" print="0" autoFill="0" autoPict="0" macro="[0]!RegenerateAllMonthB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U30"/>
  <sheetViews>
    <sheetView zoomScaleNormal="100" workbookViewId="0">
      <selection activeCell="B3" sqref="B3:B6"/>
    </sheetView>
  </sheetViews>
  <sheetFormatPr defaultRowHeight="16.5"/>
  <cols>
    <col min="1" max="1" width="8.625" customWidth="1"/>
    <col min="2" max="16" width="8.625" style="24" customWidth="1"/>
    <col min="17" max="17" width="20.625" style="2" customWidth="1"/>
    <col min="18" max="18" width="9" customWidth="1"/>
    <col min="19" max="19" width="9.875" customWidth="1"/>
    <col min="21" max="21" width="9" style="2"/>
  </cols>
  <sheetData>
    <row r="1" spans="1:20" ht="18" thickTop="1" thickBot="1">
      <c r="A1" s="17"/>
      <c r="B1" s="26" t="s">
        <v>27</v>
      </c>
      <c r="C1" s="26" t="s">
        <v>12</v>
      </c>
      <c r="D1" s="26" t="s">
        <v>13</v>
      </c>
      <c r="E1" s="26" t="s">
        <v>14</v>
      </c>
      <c r="F1" s="26" t="s">
        <v>15</v>
      </c>
      <c r="G1" s="26" t="s">
        <v>16</v>
      </c>
      <c r="H1" s="26" t="s">
        <v>17</v>
      </c>
      <c r="I1" s="26" t="s">
        <v>18</v>
      </c>
      <c r="J1" s="26" t="s">
        <v>19</v>
      </c>
      <c r="K1" s="26" t="s">
        <v>20</v>
      </c>
      <c r="L1" s="26" t="s">
        <v>21</v>
      </c>
      <c r="M1" s="26" t="s">
        <v>22</v>
      </c>
      <c r="N1" s="26" t="s">
        <v>23</v>
      </c>
      <c r="O1" s="26" t="s">
        <v>31</v>
      </c>
      <c r="P1" s="26" t="s">
        <v>30</v>
      </c>
      <c r="Q1" s="26" t="s">
        <v>9</v>
      </c>
    </row>
    <row r="2" spans="1:20" ht="17.25" thickTop="1">
      <c r="A2" s="40" t="s">
        <v>10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8">
        <f>SUM(SUMIF('1월'!J:J, A2, '1월'!K:K),SUMIF('2월'!J:J, A2, '2월'!K:K),SUMIF('3월'!J:J, A2, '3월'!K:K),SUMIF('4월'!J:J, A2, '4월'!K:K),SUMIF('5월'!J:J, A2, '5월'!K:K),SUMIF('6월'!J:J, A2, '6월'!K:K),SUMIF('7월'!J:J, A2, '7월'!K:K),SUMIF('8월'!J:J, A2, '8월'!K:K),SUMIF('9월'!J:J, A2, '9월'!K:K),SUMIF('10월'!J:J, A2, '10월'!K:K),SUMIF('11월'!J:J, A2, '11월'!K:K),SUMIF('12월'!J:J, A2, '12월'!K:K))</f>
        <v>0</v>
      </c>
      <c r="P2" s="29">
        <f>(SUM(B2:N2))-O2</f>
        <v>0</v>
      </c>
      <c r="S2" s="2"/>
      <c r="T2" s="2"/>
    </row>
    <row r="3" spans="1:20">
      <c r="A3" s="41" t="s">
        <v>26</v>
      </c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8">
        <f>SUM(SUMIF('1월'!J:J, A3, '1월'!K:K),SUMIF('2월'!J:J, A3, '2월'!K:K),SUMIF('3월'!J:J, A3, '3월'!K:K),SUMIF('4월'!J:J, A3, '4월'!K:K),SUMIF('5월'!J:J, A3, '5월'!K:K),SUMIF('6월'!J:J, A3, '6월'!K:K),SUMIF('7월'!J:J, A3, '7월'!K:K),SUMIF('8월'!J:J, A3, '8월'!K:K),SUMIF('9월'!J:J, A3, '9월'!K:K),SUMIF('10월'!J:J, A3, '10월'!K:K),SUMIF('11월'!J:J, A3, '11월'!K:K),SUMIF('12월'!J:J, A3, '12월'!K:K))</f>
        <v>0</v>
      </c>
      <c r="P3" s="29">
        <f t="shared" ref="P3:P7" si="0">(SUM(B3:N3))-O3</f>
        <v>0</v>
      </c>
      <c r="S3" s="2"/>
    </row>
    <row r="4" spans="1:20">
      <c r="A4" s="41" t="s">
        <v>11</v>
      </c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8">
        <f>SUM(SUMIF('1월'!J:J, A4, '1월'!K:K),SUMIF('2월'!J:J, A4, '2월'!K:K),SUMIF('3월'!J:J, A4, '3월'!K:K),SUMIF('4월'!J:J, A4, '4월'!K:K),SUMIF('5월'!J:J, A4, '5월'!K:K),SUMIF('6월'!J:J, A4, '6월'!K:K),SUMIF('7월'!J:J, A4, '7월'!K:K),SUMIF('8월'!J:J, A4, '8월'!K:K),SUMIF('9월'!J:J, A4, '9월'!K:K),SUMIF('10월'!J:J, A4, '10월'!K:K),SUMIF('11월'!J:J, A4, '11월'!K:K),SUMIF('12월'!J:J, A4, '12월'!K:K))</f>
        <v>0</v>
      </c>
      <c r="P4" s="29">
        <f t="shared" si="0"/>
        <v>0</v>
      </c>
      <c r="S4" s="2"/>
      <c r="T4" s="2"/>
    </row>
    <row r="5" spans="1:20">
      <c r="A5" s="41" t="s">
        <v>24</v>
      </c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8">
        <f>SUM(SUMIF('1월'!J:J, A5, '1월'!K:K),SUMIF('2월'!J:J, A5, '2월'!K:K),SUMIF('3월'!J:J, A5, '3월'!K:K),SUMIF('4월'!J:J, A5, '4월'!K:K),SUMIF('5월'!J:J, A5, '5월'!K:K),SUMIF('6월'!J:J, A5, '6월'!K:K),SUMIF('7월'!J:J, A5, '7월'!K:K),SUMIF('8월'!J:J, A5, '8월'!K:K),SUMIF('9월'!J:J, A5, '9월'!K:K),SUMIF('10월'!J:J, A5, '10월'!K:K),SUMIF('11월'!J:J, A5, '11월'!K:K),SUMIF('12월'!J:J, A5, '12월'!K:K))</f>
        <v>0</v>
      </c>
      <c r="P5" s="29">
        <f t="shared" si="0"/>
        <v>0</v>
      </c>
    </row>
    <row r="6" spans="1:20">
      <c r="A6" s="41" t="s">
        <v>25</v>
      </c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8">
        <f>SUM(SUMIF('1월'!J:J, A6, '1월'!K:K),SUMIF('2월'!J:J, A6, '2월'!K:K),SUMIF('3월'!J:J, A6, '3월'!K:K),SUMIF('4월'!J:J, A6, '4월'!K:K),SUMIF('5월'!J:J, A6, '5월'!K:K),SUMIF('6월'!J:J, A6, '6월'!K:K),SUMIF('7월'!J:J, A6, '7월'!K:K),SUMIF('8월'!J:J, A6, '8월'!K:K),SUMIF('9월'!J:J, A6, '9월'!K:K),SUMIF('10월'!J:J, A6, '10월'!K:K),SUMIF('11월'!J:J, A6, '11월'!K:K),SUMIF('12월'!J:J, A6, '12월'!K:K))</f>
        <v>0</v>
      </c>
      <c r="P6" s="29">
        <f t="shared" si="0"/>
        <v>0</v>
      </c>
    </row>
    <row r="7" spans="1:20">
      <c r="A7" s="41" t="s">
        <v>33</v>
      </c>
      <c r="B7" s="27"/>
      <c r="C7" s="27"/>
      <c r="D7" s="27"/>
      <c r="E7" s="27"/>
      <c r="F7" s="27"/>
      <c r="G7" s="27"/>
      <c r="H7" s="27"/>
      <c r="I7" s="27"/>
      <c r="J7" s="27"/>
      <c r="K7" s="27"/>
      <c r="L7" s="53"/>
      <c r="M7" s="27"/>
      <c r="N7" s="27"/>
      <c r="O7" s="28">
        <f>SUM(SUMIF('1월'!J:J, A7, '1월'!K:K),SUMIF('2월'!J:J, A7, '2월'!K:K),SUMIF('3월'!J:J, A7, '3월'!K:K),SUMIF('4월'!J:J, A7, '4월'!K:K),SUMIF('5월'!J:J, A7, '5월'!K:K),SUMIF('6월'!J:J, A7, '6월'!K:K),SUMIF('7월'!J:J, A7, '7월'!K:K),SUMIF('8월'!J:J, A7, '8월'!K:K),SUMIF('9월'!J:J, A7, '9월'!K:K),SUMIF('10월'!J:J, A7, '10월'!K:K),SUMIF('11월'!J:J, A7, '11월'!K:K),SUMIF('12월'!J:J, A7, '12월'!K:K))</f>
        <v>0</v>
      </c>
      <c r="P7" s="29">
        <f t="shared" si="0"/>
        <v>0</v>
      </c>
    </row>
    <row r="8" spans="1:20">
      <c r="A8" s="41" t="s">
        <v>34</v>
      </c>
      <c r="B8" s="52"/>
      <c r="C8" s="52"/>
      <c r="D8" s="52"/>
      <c r="E8" s="52"/>
      <c r="F8" s="52"/>
      <c r="G8" s="52"/>
      <c r="H8" s="52"/>
      <c r="I8" s="52"/>
      <c r="J8" s="52"/>
      <c r="K8" s="52"/>
      <c r="L8" s="27"/>
      <c r="N8" s="52"/>
      <c r="O8" s="28">
        <f>SUM(SUMIF('1월'!J:J, A8, '1월'!K:K),SUMIF('2월'!J:J, A8, '2월'!K:K),SUMIF('3월'!J:J, A8, '3월'!K:K),SUMIF('4월'!J:J, A8, '4월'!K:K),SUMIF('5월'!J:J, A8, '5월'!K:K),SUMIF('6월'!J:J, A8, '6월'!K:K),SUMIF('7월'!J:J, A8, '7월'!K:K),SUMIF('8월'!J:J, A8, '8월'!K:K),SUMIF('9월'!J:J, A8, '9월'!K:K),SUMIF('10월'!J:J, A8, '10월'!K:K),SUMIF('11월'!J:J, A8, '11월'!K:K),SUMIF('12월'!J:J, A8, '12월'!K:K))</f>
        <v>0</v>
      </c>
      <c r="P8" s="29">
        <f t="shared" ref="P8:P30" si="1">(SUM(B8:N8))-O8</f>
        <v>0</v>
      </c>
    </row>
    <row r="9" spans="1:20">
      <c r="A9" s="41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8">
        <f>SUM(SUMIF('1월'!J:J, A9, '1월'!K:K),SUMIF('2월'!J:J, A9, '2월'!K:K),SUMIF('3월'!J:J, A9, '3월'!K:K),SUMIF('4월'!J:J, A9, '4월'!K:K),SUMIF('5월'!J:J, A9, '5월'!K:K),SUMIF('6월'!J:J, A9, '6월'!K:K),SUMIF('7월'!J:J, A9, '7월'!K:K),SUMIF('8월'!J:J, A9, '8월'!K:K),SUMIF('9월'!J:J, A9, '9월'!K:K),SUMIF('10월'!J:J, A9, '10월'!K:K),SUMIF('11월'!J:J, A9, '11월'!K:K),SUMIF('12월'!J:J, A9, '12월'!K:K))</f>
        <v>0</v>
      </c>
      <c r="P9" s="29">
        <f t="shared" si="1"/>
        <v>0</v>
      </c>
    </row>
    <row r="10" spans="1:20">
      <c r="A10" s="41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8">
        <f>SUM(SUMIF('1월'!J:J, A10, '1월'!K:K),SUMIF('2월'!J:J, A10, '2월'!K:K),SUMIF('3월'!J:J, A10, '3월'!K:K),SUMIF('4월'!J:J, A10, '4월'!K:K),SUMIF('5월'!J:J, A10, '5월'!K:K),SUMIF('6월'!J:J, A10, '6월'!K:K),SUMIF('7월'!J:J, A10, '7월'!K:K),SUMIF('8월'!J:J, A10, '8월'!K:K),SUMIF('9월'!J:J, A10, '9월'!K:K),SUMIF('10월'!J:J, A10, '10월'!K:K),SUMIF('11월'!J:J, A10, '11월'!K:K),SUMIF('12월'!J:J, A10, '12월'!K:K))</f>
        <v>0</v>
      </c>
      <c r="P10" s="29">
        <f t="shared" si="1"/>
        <v>0</v>
      </c>
    </row>
    <row r="11" spans="1:20">
      <c r="A11" s="41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8">
        <f>SUM(SUMIF('1월'!J:J, A11, '1월'!K:K),SUMIF('2월'!J:J, A11, '2월'!K:K),SUMIF('3월'!J:J, A11, '3월'!K:K),SUMIF('4월'!J:J, A11, '4월'!K:K),SUMIF('5월'!J:J, A11, '5월'!K:K),SUMIF('6월'!J:J, A11, '6월'!K:K),SUMIF('7월'!J:J, A11, '7월'!K:K),SUMIF('8월'!J:J, A11, '8월'!K:K),SUMIF('9월'!J:J, A11, '9월'!K:K),SUMIF('10월'!J:J, A11, '10월'!K:K),SUMIF('11월'!J:J, A11, '11월'!K:K),SUMIF('12월'!J:J, A11, '12월'!K:K))</f>
        <v>0</v>
      </c>
      <c r="P11" s="29">
        <f t="shared" si="1"/>
        <v>0</v>
      </c>
    </row>
    <row r="12" spans="1:20">
      <c r="A12" s="41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8">
        <f>SUM(SUMIF('1월'!J:J, A12, '1월'!K:K),SUMIF('2월'!J:J, A12, '2월'!K:K),SUMIF('3월'!J:J, A12, '3월'!K:K),SUMIF('4월'!J:J, A12, '4월'!K:K),SUMIF('5월'!J:J, A12, '5월'!K:K),SUMIF('6월'!J:J, A12, '6월'!K:K),SUMIF('7월'!J:J, A12, '7월'!K:K),SUMIF('8월'!J:J, A12, '8월'!K:K),SUMIF('9월'!J:J, A12, '9월'!K:K),SUMIF('10월'!J:J, A12, '10월'!K:K),SUMIF('11월'!J:J, A12, '11월'!K:K),SUMIF('12월'!J:J, A12, '12월'!K:K))</f>
        <v>0</v>
      </c>
      <c r="P12" s="29">
        <f t="shared" si="1"/>
        <v>0</v>
      </c>
    </row>
    <row r="13" spans="1:20">
      <c r="A13" s="41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8">
        <f>SUM(SUMIF('1월'!J:J, A13, '1월'!K:K),SUMIF('2월'!J:J, A13, '2월'!K:K),SUMIF('3월'!J:J, A13, '3월'!K:K),SUMIF('4월'!J:J, A13, '4월'!K:K),SUMIF('5월'!J:J, A13, '5월'!K:K),SUMIF('6월'!J:J, A13, '6월'!K:K),SUMIF('7월'!J:J, A13, '7월'!K:K),SUMIF('8월'!J:J, A13, '8월'!K:K),SUMIF('9월'!J:J, A13, '9월'!K:K),SUMIF('10월'!J:J, A13, '10월'!K:K),SUMIF('11월'!J:J, A13, '11월'!K:K),SUMIF('12월'!J:J, A13, '12월'!K:K))</f>
        <v>0</v>
      </c>
      <c r="P13" s="29">
        <f t="shared" si="1"/>
        <v>0</v>
      </c>
    </row>
    <row r="14" spans="1:20">
      <c r="A14" s="41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8">
        <f>SUM(SUMIF('1월'!J:J, A14, '1월'!K:K),SUMIF('2월'!J:J, A14, '2월'!K:K),SUMIF('3월'!J:J, A14, '3월'!K:K),SUMIF('4월'!J:J, A14, '4월'!K:K),SUMIF('5월'!J:J, A14, '5월'!K:K),SUMIF('6월'!J:J, A14, '6월'!K:K),SUMIF('7월'!J:J, A14, '7월'!K:K),SUMIF('8월'!J:J, A14, '8월'!K:K),SUMIF('9월'!J:J, A14, '9월'!K:K),SUMIF('10월'!J:J, A14, '10월'!K:K),SUMIF('11월'!J:J, A14, '11월'!K:K),SUMIF('12월'!J:J, A14, '12월'!K:K))</f>
        <v>0</v>
      </c>
      <c r="P14" s="29">
        <f t="shared" si="1"/>
        <v>0</v>
      </c>
    </row>
    <row r="15" spans="1:20">
      <c r="A15" s="41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8">
        <f>SUM(SUMIF('1월'!J:J, A15, '1월'!K:K),SUMIF('2월'!J:J, A15, '2월'!K:K),SUMIF('3월'!J:J, A15, '3월'!K:K),SUMIF('4월'!J:J, A15, '4월'!K:K),SUMIF('5월'!J:J, A15, '5월'!K:K),SUMIF('6월'!J:J, A15, '6월'!K:K),SUMIF('7월'!J:J, A15, '7월'!K:K),SUMIF('8월'!J:J, A15, '8월'!K:K),SUMIF('9월'!J:J, A15, '9월'!K:K),SUMIF('10월'!J:J, A15, '10월'!K:K),SUMIF('11월'!J:J, A15, '11월'!K:K),SUMIF('12월'!J:J, A15, '12월'!K:K))</f>
        <v>0</v>
      </c>
      <c r="P15" s="29">
        <f t="shared" si="1"/>
        <v>0</v>
      </c>
    </row>
    <row r="16" spans="1:20">
      <c r="A16" s="41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8">
        <f>SUM(SUMIF('1월'!J:J, A16, '1월'!K:K),SUMIF('2월'!J:J, A16, '2월'!K:K),SUMIF('3월'!J:J, A16, '3월'!K:K),SUMIF('4월'!J:J, A16, '4월'!K:K),SUMIF('5월'!J:J, A16, '5월'!K:K),SUMIF('6월'!J:J, A16, '6월'!K:K),SUMIF('7월'!J:J, A16, '7월'!K:K),SUMIF('8월'!J:J, A16, '8월'!K:K),SUMIF('9월'!J:J, A16, '9월'!K:K),SUMIF('10월'!J:J, A16, '10월'!K:K),SUMIF('11월'!J:J, A16, '11월'!K:K),SUMIF('12월'!J:J, A16, '12월'!K:K))</f>
        <v>0</v>
      </c>
      <c r="P16" s="29">
        <f t="shared" si="1"/>
        <v>0</v>
      </c>
    </row>
    <row r="17" spans="1:16">
      <c r="A17" s="41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8">
        <f>SUM(SUMIF('1월'!J:J, A17, '1월'!K:K),SUMIF('2월'!J:J, A17, '2월'!K:K),SUMIF('3월'!J:J, A17, '3월'!K:K),SUMIF('4월'!J:J, A17, '4월'!K:K),SUMIF('5월'!J:J, A17, '5월'!K:K),SUMIF('6월'!J:J, A17, '6월'!K:K),SUMIF('7월'!J:J, A17, '7월'!K:K),SUMIF('8월'!J:J, A17, '8월'!K:K),SUMIF('9월'!J:J, A17, '9월'!K:K),SUMIF('10월'!J:J, A17, '10월'!K:K),SUMIF('11월'!J:J, A17, '11월'!K:K),SUMIF('12월'!J:J, A17, '12월'!K:K))</f>
        <v>0</v>
      </c>
      <c r="P17" s="29">
        <f t="shared" si="1"/>
        <v>0</v>
      </c>
    </row>
    <row r="18" spans="1:16">
      <c r="A18" s="41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8">
        <f>SUM(SUMIF('1월'!J:J, A18, '1월'!K:K),SUMIF('2월'!J:J, A18, '2월'!K:K),SUMIF('3월'!J:J, A18, '3월'!K:K),SUMIF('4월'!J:J, A18, '4월'!K:K),SUMIF('5월'!J:J, A18, '5월'!K:K),SUMIF('6월'!J:J, A18, '6월'!K:K),SUMIF('7월'!J:J, A18, '7월'!K:K),SUMIF('8월'!J:J, A18, '8월'!K:K),SUMIF('9월'!J:J, A18, '9월'!K:K),SUMIF('10월'!J:J, A18, '10월'!K:K),SUMIF('11월'!J:J, A18, '11월'!K:K),SUMIF('12월'!J:J, A18, '12월'!K:K))</f>
        <v>0</v>
      </c>
      <c r="P18" s="29">
        <f t="shared" si="1"/>
        <v>0</v>
      </c>
    </row>
    <row r="19" spans="1:16">
      <c r="A19" s="41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8">
        <f>SUM(SUMIF('1월'!J:J, A19, '1월'!K:K),SUMIF('2월'!J:J, A19, '2월'!K:K),SUMIF('3월'!J:J, A19, '3월'!K:K),SUMIF('4월'!J:J, A19, '4월'!K:K),SUMIF('5월'!J:J, A19, '5월'!K:K),SUMIF('6월'!J:J, A19, '6월'!K:K),SUMIF('7월'!J:J, A19, '7월'!K:K),SUMIF('8월'!J:J, A19, '8월'!K:K),SUMIF('9월'!J:J, A19, '9월'!K:K),SUMIF('10월'!J:J, A19, '10월'!K:K),SUMIF('11월'!J:J, A19, '11월'!K:K),SUMIF('12월'!J:J, A19, '12월'!K:K))</f>
        <v>0</v>
      </c>
      <c r="P19" s="29">
        <f t="shared" si="1"/>
        <v>0</v>
      </c>
    </row>
    <row r="20" spans="1:16">
      <c r="A20" s="41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8">
        <f>SUM(SUMIF('1월'!J:J, A20, '1월'!K:K),SUMIF('2월'!J:J, A20, '2월'!K:K),SUMIF('3월'!J:J, A20, '3월'!K:K),SUMIF('4월'!J:J, A20, '4월'!K:K),SUMIF('5월'!J:J, A20, '5월'!K:K),SUMIF('6월'!J:J, A20, '6월'!K:K),SUMIF('7월'!J:J, A20, '7월'!K:K),SUMIF('8월'!J:J, A20, '8월'!K:K),SUMIF('9월'!J:J, A20, '9월'!K:K),SUMIF('10월'!J:J, A20, '10월'!K:K),SUMIF('11월'!J:J, A20, '11월'!K:K),SUMIF('12월'!J:J, A20, '12월'!K:K))</f>
        <v>0</v>
      </c>
      <c r="P20" s="29">
        <f t="shared" si="1"/>
        <v>0</v>
      </c>
    </row>
    <row r="21" spans="1:16">
      <c r="A21" s="41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8">
        <f>SUM(SUMIF('1월'!J:J, A21, '1월'!K:K),SUMIF('2월'!J:J, A21, '2월'!K:K),SUMIF('3월'!J:J, A21, '3월'!K:K),SUMIF('4월'!J:J, A21, '4월'!K:K),SUMIF('5월'!J:J, A21, '5월'!K:K),SUMIF('6월'!J:J, A21, '6월'!K:K),SUMIF('7월'!J:J, A21, '7월'!K:K),SUMIF('8월'!J:J, A21, '8월'!K:K),SUMIF('9월'!J:J, A21, '9월'!K:K),SUMIF('10월'!J:J, A21, '10월'!K:K),SUMIF('11월'!J:J, A21, '11월'!K:K),SUMIF('12월'!J:J, A21, '12월'!K:K))</f>
        <v>0</v>
      </c>
      <c r="P21" s="29">
        <f t="shared" si="1"/>
        <v>0</v>
      </c>
    </row>
    <row r="22" spans="1:16">
      <c r="A22" s="41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8">
        <f>SUM(SUMIF('1월'!J:J, A22, '1월'!K:K),SUMIF('2월'!J:J, A22, '2월'!K:K),SUMIF('3월'!J:J, A22, '3월'!K:K),SUMIF('4월'!J:J, A22, '4월'!K:K),SUMIF('5월'!J:J, A22, '5월'!K:K),SUMIF('6월'!J:J, A22, '6월'!K:K),SUMIF('7월'!J:J, A22, '7월'!K:K),SUMIF('8월'!J:J, A22, '8월'!K:K),SUMIF('9월'!J:J, A22, '9월'!K:K),SUMIF('10월'!J:J, A22, '10월'!K:K),SUMIF('11월'!J:J, A22, '11월'!K:K),SUMIF('12월'!J:J, A22, '12월'!K:K))</f>
        <v>0</v>
      </c>
      <c r="P22" s="29">
        <f t="shared" si="1"/>
        <v>0</v>
      </c>
    </row>
    <row r="23" spans="1:16">
      <c r="A23" s="41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8">
        <f>SUM(SUMIF('1월'!J:J, A23, '1월'!K:K),SUMIF('2월'!J:J, A23, '2월'!K:K),SUMIF('3월'!J:J, A23, '3월'!K:K),SUMIF('4월'!J:J, A23, '4월'!K:K),SUMIF('5월'!J:J, A23, '5월'!K:K),SUMIF('6월'!J:J, A23, '6월'!K:K),SUMIF('7월'!J:J, A23, '7월'!K:K),SUMIF('8월'!J:J, A23, '8월'!K:K),SUMIF('9월'!J:J, A23, '9월'!K:K),SUMIF('10월'!J:J, A23, '10월'!K:K),SUMIF('11월'!J:J, A23, '11월'!K:K),SUMIF('12월'!J:J, A23, '12월'!K:K))</f>
        <v>0</v>
      </c>
      <c r="P23" s="29">
        <f t="shared" si="1"/>
        <v>0</v>
      </c>
    </row>
    <row r="24" spans="1:16">
      <c r="A24" s="41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8">
        <f>SUM(SUMIF('1월'!J:J, A24, '1월'!K:K),SUMIF('2월'!J:J, A24, '2월'!K:K),SUMIF('3월'!J:J, A24, '3월'!K:K),SUMIF('4월'!J:J, A24, '4월'!K:K),SUMIF('5월'!J:J, A24, '5월'!K:K),SUMIF('6월'!J:J, A24, '6월'!K:K),SUMIF('7월'!J:J, A24, '7월'!K:K),SUMIF('8월'!J:J, A24, '8월'!K:K),SUMIF('9월'!J:J, A24, '9월'!K:K),SUMIF('10월'!J:J, A24, '10월'!K:K),SUMIF('11월'!J:J, A24, '11월'!K:K),SUMIF('12월'!J:J, A24, '12월'!K:K))</f>
        <v>0</v>
      </c>
      <c r="P24" s="29">
        <f t="shared" si="1"/>
        <v>0</v>
      </c>
    </row>
    <row r="25" spans="1:16">
      <c r="A25" s="41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8">
        <f>SUM(SUMIF('1월'!J:J, A25, '1월'!K:K),SUMIF('2월'!J:J, A25, '2월'!K:K),SUMIF('3월'!J:J, A25, '3월'!K:K),SUMIF('4월'!J:J, A25, '4월'!K:K),SUMIF('5월'!J:J, A25, '5월'!K:K),SUMIF('6월'!J:J, A25, '6월'!K:K),SUMIF('7월'!J:J, A25, '7월'!K:K),SUMIF('8월'!J:J, A25, '8월'!K:K),SUMIF('9월'!J:J, A25, '9월'!K:K),SUMIF('10월'!J:J, A25, '10월'!K:K),SUMIF('11월'!J:J, A25, '11월'!K:K),SUMIF('12월'!J:J, A25, '12월'!K:K))</f>
        <v>0</v>
      </c>
      <c r="P25" s="29">
        <f t="shared" si="1"/>
        <v>0</v>
      </c>
    </row>
    <row r="26" spans="1:16">
      <c r="A26" s="41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8">
        <f>SUM(SUMIF('1월'!J:J, A26, '1월'!K:K),SUMIF('2월'!J:J, A26, '2월'!K:K),SUMIF('3월'!J:J, A26, '3월'!K:K),SUMIF('4월'!J:J, A26, '4월'!K:K),SUMIF('5월'!J:J, A26, '5월'!K:K),SUMIF('6월'!J:J, A26, '6월'!K:K),SUMIF('7월'!J:J, A26, '7월'!K:K),SUMIF('8월'!J:J, A26, '8월'!K:K),SUMIF('9월'!J:J, A26, '9월'!K:K),SUMIF('10월'!J:J, A26, '10월'!K:K),SUMIF('11월'!J:J, A26, '11월'!K:K),SUMIF('12월'!J:J, A26, '12월'!K:K))</f>
        <v>0</v>
      </c>
      <c r="P26" s="29">
        <f t="shared" si="1"/>
        <v>0</v>
      </c>
    </row>
    <row r="27" spans="1:16">
      <c r="A27" s="41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8">
        <f>SUM(SUMIF('1월'!J:J, A27, '1월'!K:K),SUMIF('2월'!J:J, A27, '2월'!K:K),SUMIF('3월'!J:J, A27, '3월'!K:K),SUMIF('4월'!J:J, A27, '4월'!K:K),SUMIF('5월'!J:J, A27, '5월'!K:K),SUMIF('6월'!J:J, A27, '6월'!K:K),SUMIF('7월'!J:J, A27, '7월'!K:K),SUMIF('8월'!J:J, A27, '8월'!K:K),SUMIF('9월'!J:J, A27, '9월'!K:K),SUMIF('10월'!J:J, A27, '10월'!K:K),SUMIF('11월'!J:J, A27, '11월'!K:K),SUMIF('12월'!J:J, A27, '12월'!K:K))</f>
        <v>0</v>
      </c>
      <c r="P27" s="29">
        <f t="shared" si="1"/>
        <v>0</v>
      </c>
    </row>
    <row r="28" spans="1:16">
      <c r="A28" s="41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8">
        <f>SUM(SUMIF('1월'!J:J, A28, '1월'!K:K),SUMIF('2월'!J:J, A28, '2월'!K:K),SUMIF('3월'!J:J, A28, '3월'!K:K),SUMIF('4월'!J:J, A28, '4월'!K:K),SUMIF('5월'!J:J, A28, '5월'!K:K),SUMIF('6월'!J:J, A28, '6월'!K:K),SUMIF('7월'!J:J, A28, '7월'!K:K),SUMIF('8월'!J:J, A28, '8월'!K:K),SUMIF('9월'!J:J, A28, '9월'!K:K),SUMIF('10월'!J:J, A28, '10월'!K:K),SUMIF('11월'!J:J, A28, '11월'!K:K),SUMIF('12월'!J:J, A28, '12월'!K:K))</f>
        <v>0</v>
      </c>
      <c r="P28" s="29">
        <f t="shared" si="1"/>
        <v>0</v>
      </c>
    </row>
    <row r="29" spans="1:16">
      <c r="A29" s="41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8">
        <f>SUM(SUMIF('1월'!J:J, A29, '1월'!K:K),SUMIF('2월'!J:J, A29, '2월'!K:K),SUMIF('3월'!J:J, A29, '3월'!K:K),SUMIF('4월'!J:J, A29, '4월'!K:K),SUMIF('5월'!J:J, A29, '5월'!K:K),SUMIF('6월'!J:J, A29, '6월'!K:K),SUMIF('7월'!J:J, A29, '7월'!K:K),SUMIF('8월'!J:J, A29, '8월'!K:K),SUMIF('9월'!J:J, A29, '9월'!K:K),SUMIF('10월'!J:J, A29, '10월'!K:K),SUMIF('11월'!J:J, A29, '11월'!K:K),SUMIF('12월'!J:J, A29, '12월'!K:K))</f>
        <v>0</v>
      </c>
      <c r="P29" s="29">
        <f t="shared" si="1"/>
        <v>0</v>
      </c>
    </row>
    <row r="30" spans="1:16">
      <c r="A30" s="41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8">
        <f>SUM(SUMIF('1월'!J:J, A30, '1월'!K:K),SUMIF('2월'!J:J, A30, '2월'!K:K),SUMIF('3월'!J:J, A30, '3월'!K:K),SUMIF('4월'!J:J, A30, '4월'!K:K),SUMIF('5월'!J:J, A30, '5월'!K:K),SUMIF('6월'!J:J, A30, '6월'!K:K),SUMIF('7월'!J:J, A30, '7월'!K:K),SUMIF('8월'!J:J, A30, '8월'!K:K),SUMIF('9월'!J:J, A30, '9월'!K:K),SUMIF('10월'!J:J, A30, '10월'!K:K),SUMIF('11월'!J:J, A30, '11월'!K:K),SUMIF('12월'!J:J, A30, '12월'!K:K))</f>
        <v>0</v>
      </c>
      <c r="P30" s="29">
        <f t="shared" si="1"/>
        <v>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S37"/>
  <sheetViews>
    <sheetView tabSelected="1" workbookViewId="0">
      <selection activeCell="Q14" sqref="Q14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3" customWidth="1"/>
    <col min="11" max="11" width="9.625" style="35" customWidth="1"/>
    <col min="12" max="12" width="9.625" style="2" customWidth="1"/>
    <col min="13" max="13" width="9.625" style="22" customWidth="1"/>
    <col min="14" max="16" width="7.375" style="2" customWidth="1"/>
    <col min="17" max="17" width="9.25" style="2" customWidth="1"/>
    <col min="18" max="18" width="11.25" style="2" bestFit="1" customWidth="1"/>
    <col min="19" max="19" width="7.375" style="2" customWidth="1"/>
    <col min="20" max="16385" width="9" style="2"/>
    <col min="5" max="5" width="11" customWidth="1"/>
  </cols>
  <sheetData>
    <row r="1" spans="1:18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  <c r="M1"/>
      <c r="N1"/>
      <c r="O1"/>
      <c r="P1"/>
      <c r="Q1"/>
    </row>
    <row r="2" spans="1:18" ht="17.25" thickTop="1">
      <c r="A2" s="10" t="str">
        <f>IF(ROW(A2)-1&gt;DAY(EOMONTH(DATE(VALUE(설정!$B$1),1,1),0)),"",TEXT(DATE(VALUE(설정!$B$1),1,ROW(A2)-1),"mm""월 ""dd""일"""))</f>
        <v>01월 01일</v>
      </c>
      <c r="B2" s="10" t="s">
        <v>41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I2" s="6"/>
      <c r="M2" s="21"/>
      <c r="N2"/>
      <c r="O2"/>
      <c r="P2"/>
      <c r="Q2"/>
    </row>
    <row r="3" spans="1:18">
      <c r="A3" s="10" t="str">
        <f>IF(ROW(A3)-1&gt;DAY(EOMONTH(DATE(VALUE(설정!$B$1),1,1),0)),"",TEXT(DATE(VALUE(설정!$B$1),1,ROW(A3)-1),"mm""월 ""dd""일"""))</f>
        <v>01월 02일</v>
      </c>
      <c r="B3" s="10" t="s">
        <v>43</v>
      </c>
      <c r="C3" s="19">
        <v>0.375</v>
      </c>
      <c r="D3" s="19">
        <v>0.75</v>
      </c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2" si="0">IF($B3="휴일",0,IF(ISBLANK(D3),0,IF(D3&gt;=TIME(19,1,0),1,0)))</f>
        <v>0</v>
      </c>
      <c r="I3" s="6"/>
      <c r="M3" s="21"/>
      <c r="N3"/>
      <c r="O3"/>
      <c r="P3"/>
      <c r="Q3" s="59"/>
      <c r="R3"/>
      <c r="S3"/>
    </row>
    <row r="4" spans="1:18">
      <c r="A4" s="10" t="str">
        <f>IF(ROW(A4)-1&gt;DAY(EOMONTH(DATE(VALUE(설정!$B$1),1,1),0)),"",TEXT(DATE(VALUE(설정!$B$1),1,ROW(A4)-1),"mm""월 ""dd""일"""))</f>
        <v>01월 03일</v>
      </c>
      <c r="B4" s="10" t="s">
        <v>42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J4" s="6"/>
      <c r="N4" s="21"/>
      <c r="O4"/>
      <c r="P4"/>
      <c r="Q4"/>
      <c r="R4"/>
      <c r="S4"/>
      <c r="T4"/>
    </row>
    <row r="5" spans="1:18">
      <c r="A5" s="10" t="str">
        <f>IF(ROW(A5)-1&gt;DAY(EOMONTH(DATE(VALUE(설정!$B$1),1,1),0)),"",TEXT(DATE(VALUE(설정!$B$1),1,ROW(A5)-1),"mm""월 ""dd""일"""))</f>
        <v>01월 04일</v>
      </c>
      <c r="B5" s="10" t="s">
        <v>42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J5" s="6"/>
      <c r="N5"/>
      <c r="O5"/>
      <c r="P5"/>
      <c r="Q5"/>
      <c r="R5"/>
      <c r="S5"/>
      <c r="T5"/>
    </row>
    <row r="6" spans="1:18">
      <c r="A6" s="10" t="str">
        <f>IF(ROW(A6)-1&gt;DAY(EOMONTH(DATE(VALUE(설정!$B$1),1,1),0)),"",TEXT(DATE(VALUE(설정!$B$1),1,ROW(A6)-1),"mm""월 ""dd""일"""))</f>
        <v>01월 05일</v>
      </c>
      <c r="B6" s="10" t="s">
        <v>43</v>
      </c>
      <c r="C6" s="19">
        <v>0.33263888888888887</v>
      </c>
      <c r="D6" s="19">
        <v>0.79236111111111107</v>
      </c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1</v>
      </c>
      <c r="H6" s="8">
        <f t="shared" si="0"/>
        <v>1</v>
      </c>
      <c r="J6" s="6"/>
      <c r="N6"/>
      <c r="O6"/>
      <c r="P6"/>
      <c r="Q6"/>
      <c r="R6"/>
      <c r="S6"/>
      <c r="T6"/>
    </row>
    <row r="7" spans="1:18">
      <c r="A7" s="10" t="str">
        <f>IF(ROW(A7)-1&gt;DAY(EOMONTH(DATE(VALUE(설정!$B$1),1,1),0)),"",TEXT(DATE(VALUE(설정!$B$1),1,ROW(A7)-1),"mm""월 ""dd""일"""))</f>
        <v>01월 06일</v>
      </c>
      <c r="B7" s="10" t="s">
        <v>43</v>
      </c>
      <c r="C7" s="19">
        <v>0.33333333333333331</v>
      </c>
      <c r="D7" s="19">
        <v>0.79166666666666663</v>
      </c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J7" s="6"/>
      <c r="N7"/>
      <c r="O7"/>
      <c r="P7"/>
      <c r="Q7"/>
      <c r="R7"/>
      <c r="S7"/>
      <c r="T7"/>
    </row>
    <row r="8" spans="1:18">
      <c r="A8" s="10" t="str">
        <f>IF(ROW(A8)-1&gt;DAY(EOMONTH(DATE(VALUE(설정!$B$1),1,1),0)),"",TEXT(DATE(VALUE(설정!$B$1),1,ROW(A8)-1),"mm""월 ""dd""일"""))</f>
        <v>01월 07일</v>
      </c>
      <c r="B8" s="10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J8" s="6"/>
      <c r="N8"/>
      <c r="O8"/>
      <c r="P8"/>
      <c r="Q8"/>
      <c r="R8"/>
      <c r="S8"/>
      <c r="T8"/>
    </row>
    <row r="9" spans="1:18">
      <c r="A9" s="10" t="str">
        <f>IF(ROW(A9)-1&gt;DAY(EOMONTH(DATE(VALUE(설정!$B$1),1,1),0)),"",TEXT(DATE(VALUE(설정!$B$1),1,ROW(A9)-1),"mm""월 ""dd""일"""))</f>
        <v>01월 08일</v>
      </c>
      <c r="B9" s="10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J9" s="6"/>
      <c r="N9"/>
      <c r="O9"/>
      <c r="P9"/>
      <c r="Q9"/>
      <c r="R9"/>
      <c r="S9"/>
      <c r="T9"/>
    </row>
    <row r="10" spans="1:18">
      <c r="A10" s="10" t="str">
        <f>IF(ROW(A10)-1&gt;DAY(EOMONTH(DATE(VALUE(설정!$B$1),1,1),0)),"",TEXT(DATE(VALUE(설정!$B$1),1,ROW(A10)-1),"mm""월 ""dd""일"""))</f>
        <v>01월 09일</v>
      </c>
      <c r="B10" s="10" t="s">
        <v>43</v>
      </c>
      <c r="C10" s="19">
        <v>0.25</v>
      </c>
      <c r="D10" s="19">
        <v>0.95833333333333337</v>
      </c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1</v>
      </c>
      <c r="H10" s="8">
        <f t="shared" si="0"/>
        <v>1</v>
      </c>
      <c r="J10" s="6"/>
      <c r="N10"/>
      <c r="O10"/>
    </row>
    <row r="11" spans="1:18">
      <c r="A11" s="10" t="str">
        <f>IF(ROW(A11)-1&gt;DAY(EOMONTH(DATE(VALUE(설정!$B$1),1,1),0)),"",TEXT(DATE(VALUE(설정!$B$1),1,ROW(A11)-1),"mm""월 ""dd""일"""))</f>
        <v>01월 10일</v>
      </c>
      <c r="B11" s="10" t="s">
        <v>42</v>
      </c>
      <c r="C11" s="19">
        <v>0.25</v>
      </c>
      <c r="D11" s="19">
        <v>0.95833333333333337</v>
      </c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1</v>
      </c>
      <c r="H11" s="8">
        <f t="shared" si="0"/>
        <v>0</v>
      </c>
      <c r="J11" s="6"/>
      <c r="N11"/>
      <c r="O11"/>
    </row>
    <row r="12" spans="1:18">
      <c r="A12" s="10" t="str">
        <f>IF(ROW(A12)-1&gt;DAY(EOMONTH(DATE(VALUE(설정!$B$1),1,1),0)),"",TEXT(DATE(VALUE(설정!$B$1),1,ROW(A12)-1),"mm""월 ""dd""일"""))</f>
        <v>01월 11일</v>
      </c>
      <c r="B12" s="10" t="s">
        <v>42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J12" s="6"/>
      <c r="N12"/>
      <c r="O12"/>
    </row>
    <row r="13" spans="1:18">
      <c r="A13" s="10" t="str">
        <f>IF(ROW(A13)-1&gt;DAY(EOMONTH(DATE(VALUE(설정!$B$1),1,1),0)),"",TEXT(DATE(VALUE(설정!$B$1),1,ROW(A13)-1),"mm""월 ""dd""일"""))</f>
        <v>01월 12일</v>
      </c>
      <c r="B13" s="10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J13" s="6"/>
      <c r="N13"/>
      <c r="O13"/>
    </row>
    <row r="14" spans="1:18">
      <c r="A14" s="10" t="str">
        <f>IF(ROW(A14)-1&gt;DAY(EOMONTH(DATE(VALUE(설정!$B$1),1,1),0)),"",TEXT(DATE(VALUE(설정!$B$1),1,ROW(A14)-1),"mm""월 ""dd""일"""))</f>
        <v>01월 13일</v>
      </c>
      <c r="B14" s="10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J14" s="6"/>
      <c r="N14"/>
      <c r="O14"/>
    </row>
    <row r="15" spans="1:18">
      <c r="A15" s="10" t="str">
        <f>IF(ROW(A15)-1&gt;DAY(EOMONTH(DATE(VALUE(설정!$B$1),1,1),0)),"",TEXT(DATE(VALUE(설정!$B$1),1,ROW(A15)-1),"mm""월 ""dd""일"""))</f>
        <v>01월 14일</v>
      </c>
      <c r="B15" s="10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J15" s="6"/>
      <c r="N15"/>
      <c r="O15"/>
    </row>
    <row r="16" spans="1:18">
      <c r="A16" s="10" t="str">
        <f>IF(ROW(A16)-1&gt;DAY(EOMONTH(DATE(VALUE(설정!$B$1),1,1),0)),"",TEXT(DATE(VALUE(설정!$B$1),1,ROW(A16)-1),"mm""월 ""dd""일"""))</f>
        <v>01월 15일</v>
      </c>
      <c r="B16" s="10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J16" s="6"/>
      <c r="N16"/>
      <c r="O16"/>
    </row>
    <row r="17" spans="1:13">
      <c r="A17" s="10" t="str">
        <f>IF(ROW(A17)-1&gt;DAY(EOMONTH(DATE(VALUE(설정!$B$1),1,1),0)),"",TEXT(DATE(VALUE(설정!$B$1),1,ROW(A17)-1),"mm""월 ""dd""일"""))</f>
        <v>01월 16일</v>
      </c>
      <c r="B17" s="10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J17" s="6"/>
      <c r="N17"/>
      <c r="O17"/>
    </row>
    <row r="18" spans="1:13">
      <c r="A18" s="10" t="str">
        <f>IF(ROW(A18)-1&gt;DAY(EOMONTH(DATE(VALUE(설정!$B$1),1,1),0)),"",TEXT(DATE(VALUE(설정!$B$1),1,ROW(A18)-1),"mm""월 ""dd""일"""))</f>
        <v>01월 17일</v>
      </c>
      <c r="B18" s="10" t="s">
        <v>42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J18" s="6"/>
      <c r="N18"/>
      <c r="O18"/>
    </row>
    <row r="19" spans="1:13">
      <c r="A19" s="10" t="str">
        <f>IF(ROW(A19)-1&gt;DAY(EOMONTH(DATE(VALUE(설정!$B$1),1,1),0)),"",TEXT(DATE(VALUE(설정!$B$1),1,ROW(A19)-1),"mm""월 ""dd""일"""))</f>
        <v>01월 18일</v>
      </c>
      <c r="B19" s="10" t="s">
        <v>42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J19" s="6"/>
    </row>
    <row r="20" spans="1:13">
      <c r="A20" s="10" t="str">
        <f>IF(ROW(A20)-1&gt;DAY(EOMONTH(DATE(VALUE(설정!$B$1),1,1),0)),"",TEXT(DATE(VALUE(설정!$B$1),1,ROW(A20)-1),"mm""월 ""dd""일"""))</f>
        <v>01월 19일</v>
      </c>
      <c r="B20" s="10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J20" s="6"/>
    </row>
    <row r="21" spans="1:13">
      <c r="A21" s="10" t="str">
        <f>IF(ROW(A21)-1&gt;DAY(EOMONTH(DATE(VALUE(설정!$B$1),1,1),0)),"",TEXT(DATE(VALUE(설정!$B$1),1,ROW(A21)-1),"mm""월 ""dd""일"""))</f>
        <v>01월 20일</v>
      </c>
      <c r="B21" s="10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J21" s="6"/>
    </row>
    <row r="22" spans="1:13">
      <c r="A22" s="10" t="str">
        <f>IF(ROW(A22)-1&gt;DAY(EOMONTH(DATE(VALUE(설정!$B$1),1,1),0)),"",TEXT(DATE(VALUE(설정!$B$1),1,ROW(A22)-1),"mm""월 ""dd""일"""))</f>
        <v>01월 21일</v>
      </c>
      <c r="B22" s="10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J22" s="6"/>
    </row>
    <row r="23" spans="1:13">
      <c r="A23" s="10" t="str">
        <f>IF(ROW(A23)-1&gt;DAY(EOMONTH(DATE(VALUE(설정!$B$1),1,1),0)),"",TEXT(DATE(VALUE(설정!$B$1),1,ROW(A23)-1),"mm""월 ""dd""일"""))</f>
        <v>01월 22일</v>
      </c>
      <c r="B23" s="10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J23" s="6"/>
    </row>
    <row r="24" spans="1:13">
      <c r="A24" s="10" t="str">
        <f>IF(ROW(A24)-1&gt;DAY(EOMONTH(DATE(VALUE(설정!$B$1),1,1),0)),"",TEXT(DATE(VALUE(설정!$B$1),1,ROW(A24)-1),"mm""월 ""dd""일"""))</f>
        <v>01월 23일</v>
      </c>
      <c r="B24" s="10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J24" s="6"/>
    </row>
    <row r="25" spans="1:13">
      <c r="A25" s="10" t="str">
        <f>IF(ROW(A25)-1&gt;DAY(EOMONTH(DATE(VALUE(설정!$B$1),1,1),0)),"",TEXT(DATE(VALUE(설정!$B$1),1,ROW(A25)-1),"mm""월 ""dd""일"""))</f>
        <v>01월 24일</v>
      </c>
      <c r="B25" s="10" t="s">
        <v>42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J25" s="6"/>
    </row>
    <row r="26" spans="1:13">
      <c r="A26" s="10" t="str">
        <f>IF(ROW(A26)-1&gt;DAY(EOMONTH(DATE(VALUE(설정!$B$1),1,1),0)),"",TEXT(DATE(VALUE(설정!$B$1),1,ROW(A26)-1),"mm""월 ""dd""일"""))</f>
        <v>01월 25일</v>
      </c>
      <c r="B26" s="10" t="s">
        <v>42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J26" s="6"/>
    </row>
    <row r="27" spans="1:13">
      <c r="A27" s="10" t="str">
        <f>IF(ROW(A27)-1&gt;DAY(EOMONTH(DATE(VALUE(설정!$B$1),1,1),0)),"",TEXT(DATE(VALUE(설정!$B$1),1,ROW(A27)-1),"mm""월 ""dd""일"""))</f>
        <v>01월 26일</v>
      </c>
      <c r="B27" s="10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J27" s="58"/>
    </row>
    <row r="28" spans="1:13">
      <c r="A28" s="10" t="str">
        <f>IF(ROW(A28)-1&gt;DAY(EOMONTH(DATE(VALUE(설정!$B$1),1,1),0)),"",TEXT(DATE(VALUE(설정!$B$1),1,ROW(A28)-1),"mm""월 ""dd""일"""))</f>
        <v>01월 27일</v>
      </c>
      <c r="B28" s="10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J28" s="58"/>
    </row>
    <row r="29" spans="1:13">
      <c r="A29" s="10" t="str">
        <f>IF(ROW(A29)-1&gt;DAY(EOMONTH(DATE(VALUE(설정!$B$1),1,1),0)),"",TEXT(DATE(VALUE(설정!$B$1),1,ROW(A29)-1),"mm""월 ""dd""일"""))</f>
        <v>01월 28일</v>
      </c>
      <c r="B29" s="10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J29" s="58"/>
    </row>
    <row r="30" spans="1:13">
      <c r="A30" s="10" t="str">
        <f>IF(ROW(A30)-1&gt;DAY(EOMONTH(DATE(VALUE(설정!$B$1),1,1),0)),"",TEXT(DATE(VALUE(설정!$B$1),1,ROW(A30)-1),"mm""월 ""dd""일"""))</f>
        <v>01월 29일</v>
      </c>
      <c r="B30" s="10" t="s">
        <v>43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J30" s="58"/>
    </row>
    <row r="31" spans="1:13">
      <c r="A31" s="10" t="str">
        <f>IF(ROW(A31)-1&gt;DAY(EOMONTH(DATE(VALUE(설정!$B$1),1,1),0)),"",TEXT(DATE(VALUE(설정!$B$1),1,ROW(A31)-1),"mm""월 ""dd""일"""))</f>
        <v>01월 30일</v>
      </c>
      <c r="B31" s="10" t="s">
        <v>43</v>
      </c>
      <c r="C31" s="19"/>
      <c r="D31" s="1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J31" s="58"/>
    </row>
    <row r="32" spans="1:13">
      <c r="A32" s="10" t="str">
        <f>IF(ROW(A32)-1&gt;DAY(EOMONTH(DATE(VALUE(설정!$B$1),1,1),0)),"",TEXT(DATE(VALUE(설정!$B$1),1,ROW(A32)-1),"mm""월 ""dd""일"""))</f>
        <v>01월 31일</v>
      </c>
      <c r="B32" s="10" t="s">
        <v>42</v>
      </c>
      <c r="C32" s="19"/>
      <c r="D32" s="19"/>
      <c r="E32" s="19">
        <f>IF($A32="",0,IF($B32="평일",TIME(1,0,0),0))</f>
        <v/>
      </c>
      <c r="F32" s="19">
        <f>IF(OR($C32="",$D32=""),0,IF(AND($B32="휴일",설정!$B$6="예"),MIN(MAX(0,VALUE(설정!$B$2))/24,MAX(0,(MIN(IF(VALUE(설정!$B$2)=4,IF(AND($D32&gt;TIME(18,0,0),$D32&lt;TIME(19,1,0)),TIME(18,0,0),$D32),$D32),설정!$B$5)-MAX(IF(VALUE(설정!$B$2)=4,IF(AND($C32&gt;=TIME(8,0,0),$C32&lt;TIME(9,0,0)),TIME(9,0,0),$C32),$C32),설정!$B$4))-$E32)),IF($B32="평일",MIN(MAX(0,VALUE(설정!$B$2))/24,MAX(0,(MIN(IF(VALUE(설정!$B$2)=4,IF(AND($D32&gt;TIME(18,0,0),$D32&lt;TIME(19,1,0)),TIME(18,0,0),$D32),$D32),설정!$B$5)-MAX(IF(VALUE(설정!$B$2)=4,IF(AND($C32&gt;=TIME(8,0,0),$C32&lt;TIME(9,0,0)),TIME(9,0,0),$C32),$C32),설정!$B$4))-TIME(9,0,0)-$E32)),0)))</f>
        <v/>
      </c>
      <c r="G32" s="8">
        <f>IF($B32="휴일",IF(설정!$B$6="예",IF(ROUND($F32*86400,0)&gt;=3660,1,0),0),IF(ISBLANK(C32),0,IF(C32&lt;=TIME(7,59,59),1,0)))</f>
        <v>0</v>
      </c>
      <c r="H32" s="8">
        <f t="shared" si="0"/>
        <v>0</v>
      </c>
      <c r="J32" s="6"/>
    </row>
    <row r="33" spans="1:8">
      <c r="A33" s="6"/>
      <c r="B33" s="55"/>
      <c r="C33" s="5"/>
      <c r="D33" s="11" t="s">
        <v>5</v>
      </c>
      <c r="G33" s="13">
        <f>SUM(F2:F32)</f>
        <v>0.54305555555555551</v>
      </c>
      <c r="G33" s="6" t="s">
        <v>7</v>
      </c>
      <c r="H33" s="14">
        <f>MIN(SUM(G2:H32),MAX(0,VALUE(설정!$B$7)))</f>
        <v>5</v>
      </c>
      <c r="I33"/>
    </row>
    <row r="34" spans="1:8">
      <c r="A34" s="6"/>
      <c r="B34" s="55"/>
      <c r="C34" s="6"/>
      <c r="D34" s="1" t="s">
        <v>6</v>
      </c>
      <c r="F34" s="12">
        <f>MAX(0, ((설정!$B$3*60) - (F33*1440)) / 1440)</f>
        <v>1.4986111111111111</v>
      </c>
      <c r="G34" s="1" t="s">
        <v>6</v>
      </c>
      <c r="H34" s="7">
        <f>MAX(0,MAX(0,VALUE(설정!$B$7))-H33)</f>
        <v>15</v>
      </c>
      <c r="I34"/>
    </row>
    <row r="35" spans="1:8">
      <c r="D35" s="2" t="s">
        <v>8</v>
      </c>
      <c r="F35" s="12">
        <f>IF(SUM(F2:F32)&gt;(설정!$B$3/24),(SUM(F2:F32)-(설정!$B$3/24)),0)</f>
        <v>0</v>
      </c>
      <c r="G35" s="2" t="s">
        <v>8</v>
      </c>
      <c r="H35" s="18">
        <f>MAX(0,SUM(G2:H32)-MAX(0,VALUE(설정!$B$7)))</f>
        <v>0</v>
      </c>
      <c r="I35"/>
    </row>
    <row r="36" spans="1:8">
      <c r="D36" s="1" t="s">
        <v>32</v>
      </c>
      <c r="F36" s="2">
        <f>IF(설정!$B$6&lt;&gt;"아니오",0,COUNTIFS($B$2:$B$32,"휴일",$C$2:$C$32,"&lt;&gt;"))</f>
        <v>0</v>
      </c>
      <c r="H36" s="2">
        <f>SUM(G2:H32)</f>
        <v>5</v>
      </c>
      <c r="I36"/>
    </row>
    <row r="37" spans="1:8">
      <c r="F37"/>
    </row>
  </sheetData>
  <phoneticPr fontId="1" type="noConversion"/>
  <conditionalFormatting sqref="A2:A32">
    <cfRule type="expression" dxfId="11" priority="1">
      <formula>AND($A2&lt;&gt;"",$B2="휴일")</formula>
    </cfRule>
  </conditionalFormatting>
  <dataValidations disablePrompts="1" count="1">
    <dataValidation type="list" allowBlank="1" showInputMessage="1" showErrorMessage="1" sqref="B2:B32" xr:uid="{41C93069-D107-4464-ADBC-996513366E8D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2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N34"/>
  <sheetViews>
    <sheetView workbookViewId="0">
      <selection activeCell="C3" sqref="C3:D4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3" customWidth="1"/>
    <col min="11" max="11" width="9.625" style="35" customWidth="1"/>
    <col min="12" max="12" width="9.625" style="2" customWidth="1"/>
    <col min="13" max="13" width="9" style="22"/>
    <col min="14" max="16385" width="9" style="2"/>
    <col min="5" max="5" width="11" customWidth="1"/>
  </cols>
  <sheetData>
    <row r="1" spans="1:13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</row>
    <row r="2" spans="1:13" ht="17.25" thickTop="1">
      <c r="A2" s="10" t="str">
        <f>IF(ROW(A2)-1&gt;DAY(EOMONTH(DATE(VALUE(설정!$B$1),2,1),0)),"",TEXT(DATE(VALUE(설정!$B$1),2,ROW(A2)-1),"mm""월 ""dd""일"""))</f>
        <v>02월 01일</v>
      </c>
      <c r="B2" s="10" t="s">
        <v>42</v>
      </c>
      <c r="C2" s="9"/>
      <c r="D2" s="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I2" s="6"/>
      <c r="N2" s="20"/>
    </row>
    <row r="3" spans="1:13">
      <c r="A3" s="10" t="str">
        <f>IF(ROW(A3)-1&gt;DAY(EOMONTH(DATE(VALUE(설정!$B$1),2,1),0)),"",TEXT(DATE(VALUE(설정!$B$1),2,ROW(A3)-1),"mm""월 ""dd""일"""))</f>
        <v>02월 02일</v>
      </c>
      <c r="B3" s="10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0" si="0">IF($B3="휴일",0,IF(ISBLANK(D3),0,IF(D3&gt;=TIME(19,1,0),1,0)))</f>
        <v>0</v>
      </c>
      <c r="I3" s="6"/>
      <c r="N3" s="20"/>
    </row>
    <row r="4" spans="1:13">
      <c r="A4" s="10" t="str">
        <f>IF(ROW(A4)-1&gt;DAY(EOMONTH(DATE(VALUE(설정!$B$1),2,1),0)),"",TEXT(DATE(VALUE(설정!$B$1),2,ROW(A4)-1),"mm""월 ""dd""일"""))</f>
        <v>02월 03일</v>
      </c>
      <c r="B4" s="10" t="s">
        <v>43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J4" s="6"/>
      <c r="N4" s="23"/>
    </row>
    <row r="5" spans="1:13">
      <c r="A5" s="10" t="str">
        <f>IF(ROW(A5)-1&gt;DAY(EOMONTH(DATE(VALUE(설정!$B$1),2,1),0)),"",TEXT(DATE(VALUE(설정!$B$1),2,ROW(A5)-1),"mm""월 ""dd""일"""))</f>
        <v>02월 04일</v>
      </c>
      <c r="B5" s="10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J5" s="6"/>
      <c r="N5" s="23"/>
    </row>
    <row r="6" spans="1:13">
      <c r="A6" s="10" t="str">
        <f>IF(ROW(A6)-1&gt;DAY(EOMONTH(DATE(VALUE(설정!$B$1),2,1),0)),"",TEXT(DATE(VALUE(설정!$B$1),2,ROW(A6)-1),"mm""월 ""dd""일"""))</f>
        <v>02월 05일</v>
      </c>
      <c r="B6" s="10" t="s">
        <v>43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J6" s="6"/>
      <c r="N6" s="23"/>
    </row>
    <row r="7" spans="1:13">
      <c r="A7" s="10" t="str">
        <f>IF(ROW(A7)-1&gt;DAY(EOMONTH(DATE(VALUE(설정!$B$1),2,1),0)),"",TEXT(DATE(VALUE(설정!$B$1),2,ROW(A7)-1),"mm""월 ""dd""일"""))</f>
        <v>02월 06일</v>
      </c>
      <c r="B7" s="10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N7" s="23"/>
    </row>
    <row r="8" spans="1:13">
      <c r="A8" s="10" t="str">
        <f>IF(ROW(A8)-1&gt;DAY(EOMONTH(DATE(VALUE(설정!$B$1),2,1),0)),"",TEXT(DATE(VALUE(설정!$B$1),2,ROW(A8)-1),"mm""월 ""dd""일"""))</f>
        <v>02월 07일</v>
      </c>
      <c r="B8" s="10" t="s">
        <v>42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J8" s="6"/>
      <c r="N8" s="23"/>
    </row>
    <row r="9" spans="1:13">
      <c r="A9" s="10" t="str">
        <f>IF(ROW(A9)-1&gt;DAY(EOMONTH(DATE(VALUE(설정!$B$1),2,1),0)),"",TEXT(DATE(VALUE(설정!$B$1),2,ROW(A9)-1),"mm""월 ""dd""일"""))</f>
        <v>02월 08일</v>
      </c>
      <c r="B9" s="10" t="s">
        <v>42</v>
      </c>
      <c r="C9" s="3"/>
      <c r="D9" s="3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J9" s="6"/>
      <c r="N9" s="23"/>
    </row>
    <row r="10" spans="1:13">
      <c r="A10" s="10" t="str">
        <f>IF(ROW(A10)-1&gt;DAY(EOMONTH(DATE(VALUE(설정!$B$1),2,1),0)),"",TEXT(DATE(VALUE(설정!$B$1),2,ROW(A10)-1),"mm""월 ""dd""일"""))</f>
        <v>02월 09일</v>
      </c>
      <c r="B10" s="10" t="s">
        <v>43</v>
      </c>
      <c r="C10" s="3"/>
      <c r="D10" s="3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J10" s="6"/>
      <c r="N10" s="23"/>
      <c r="O10"/>
    </row>
    <row r="11" spans="1:13">
      <c r="A11" s="10" t="str">
        <f>IF(ROW(A11)-1&gt;DAY(EOMONTH(DATE(VALUE(설정!$B$1),2,1),0)),"",TEXT(DATE(VALUE(설정!$B$1),2,ROW(A11)-1),"mm""월 ""dd""일"""))</f>
        <v>02월 10일</v>
      </c>
      <c r="B11" s="10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J11" s="6"/>
      <c r="N11" s="23"/>
    </row>
    <row r="12" spans="1:13">
      <c r="A12" s="10" t="str">
        <f>IF(ROW(A12)-1&gt;DAY(EOMONTH(DATE(VALUE(설정!$B$1),2,1),0)),"",TEXT(DATE(VALUE(설정!$B$1),2,ROW(A12)-1),"mm""월 ""dd""일"""))</f>
        <v>02월 11일</v>
      </c>
      <c r="B12" s="10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J12" s="6"/>
      <c r="N12" s="23"/>
    </row>
    <row r="13" spans="1:13">
      <c r="A13" s="10" t="str">
        <f>IF(ROW(A13)-1&gt;DAY(EOMONTH(DATE(VALUE(설정!$B$1),2,1),0)),"",TEXT(DATE(VALUE(설정!$B$1),2,ROW(A13)-1),"mm""월 ""dd""일"""))</f>
        <v>02월 12일</v>
      </c>
      <c r="B13" s="10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N13" s="23"/>
      <c r="O13"/>
    </row>
    <row r="14" spans="1:13">
      <c r="A14" s="10" t="str">
        <f>IF(ROW(A14)-1&gt;DAY(EOMONTH(DATE(VALUE(설정!$B$1),2,1),0)),"",TEXT(DATE(VALUE(설정!$B$1),2,ROW(A14)-1),"mm""월 ""dd""일"""))</f>
        <v>02월 13일</v>
      </c>
      <c r="B14" s="10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J14" s="6"/>
      <c r="N14" s="23"/>
    </row>
    <row r="15" spans="1:13">
      <c r="A15" s="10" t="str">
        <f>IF(ROW(A15)-1&gt;DAY(EOMONTH(DATE(VALUE(설정!$B$1),2,1),0)),"",TEXT(DATE(VALUE(설정!$B$1),2,ROW(A15)-1),"mm""월 ""dd""일"""))</f>
        <v>02월 14일</v>
      </c>
      <c r="B15" s="10" t="s">
        <v>42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J15" s="6"/>
      <c r="N15" s="23"/>
      <c r="O15"/>
    </row>
    <row r="16" spans="1:13">
      <c r="A16" s="10" t="str">
        <f>IF(ROW(A16)-1&gt;DAY(EOMONTH(DATE(VALUE(설정!$B$1),2,1),0)),"",TEXT(DATE(VALUE(설정!$B$1),2,ROW(A16)-1),"mm""월 ""dd""일"""))</f>
        <v>02월 15일</v>
      </c>
      <c r="B16" s="10" t="s">
        <v>42</v>
      </c>
      <c r="C16" s="3"/>
      <c r="D16" s="3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J16" s="6"/>
      <c r="N16" s="23"/>
    </row>
    <row r="17" spans="1:12">
      <c r="A17" s="10" t="str">
        <f>IF(ROW(A17)-1&gt;DAY(EOMONTH(DATE(VALUE(설정!$B$1),2,1),0)),"",TEXT(DATE(VALUE(설정!$B$1),2,ROW(A17)-1),"mm""월 ""dd""일"""))</f>
        <v>02월 16일</v>
      </c>
      <c r="B17" s="10" t="s">
        <v>41</v>
      </c>
      <c r="C17" s="3"/>
      <c r="D17" s="3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J17" s="6"/>
      <c r="N17" s="23"/>
    </row>
    <row r="18" spans="1:12">
      <c r="A18" s="10" t="str">
        <f>IF(ROW(A18)-1&gt;DAY(EOMONTH(DATE(VALUE(설정!$B$1),2,1),0)),"",TEXT(DATE(VALUE(설정!$B$1),2,ROW(A18)-1),"mm""월 ""dd""일"""))</f>
        <v>02월 17일</v>
      </c>
      <c r="B18" s="10" t="s">
        <v>41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J18" s="6" t="s">
        <v>65</v>
      </c>
      <c r="N18" s="23"/>
    </row>
    <row r="19" spans="1:12">
      <c r="A19" s="10" t="str">
        <f>IF(ROW(A19)-1&gt;DAY(EOMONTH(DATE(VALUE(설정!$B$1),2,1),0)),"",TEXT(DATE(VALUE(설정!$B$1),2,ROW(A19)-1),"mm""월 ""dd""일"""))</f>
        <v>02월 18일</v>
      </c>
      <c r="B19" s="10" t="s">
        <v>41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J19" s="6"/>
      <c r="N19" s="23"/>
    </row>
    <row r="20" spans="1:12">
      <c r="A20" s="10" t="str">
        <f>IF(ROW(A20)-1&gt;DAY(EOMONTH(DATE(VALUE(설정!$B$1),2,1),0)),"",TEXT(DATE(VALUE(설정!$B$1),2,ROW(A20)-1),"mm""월 ""dd""일"""))</f>
        <v>02월 19일</v>
      </c>
      <c r="B20" s="10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J20" s="6"/>
      <c r="N20" s="23"/>
    </row>
    <row r="21" spans="1:12">
      <c r="A21" s="10" t="str">
        <f>IF(ROW(A21)-1&gt;DAY(EOMONTH(DATE(VALUE(설정!$B$1),2,1),0)),"",TEXT(DATE(VALUE(설정!$B$1),2,ROW(A21)-1),"mm""월 ""dd""일"""))</f>
        <v>02월 20일</v>
      </c>
      <c r="B21" s="10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J21" s="6"/>
      <c r="N21" s="23"/>
    </row>
    <row r="22" spans="1:12">
      <c r="A22" s="10" t="str">
        <f>IF(ROW(A22)-1&gt;DAY(EOMONTH(DATE(VALUE(설정!$B$1),2,1),0)),"",TEXT(DATE(VALUE(설정!$B$1),2,ROW(A22)-1),"mm""월 ""dd""일"""))</f>
        <v>02월 21일</v>
      </c>
      <c r="B22" s="10" t="s">
        <v>42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J22" s="6"/>
      <c r="N22" s="23"/>
    </row>
    <row r="23" spans="1:12">
      <c r="A23" s="10" t="str">
        <f>IF(ROW(A23)-1&gt;DAY(EOMONTH(DATE(VALUE(설정!$B$1),2,1),0)),"",TEXT(DATE(VALUE(설정!$B$1),2,ROW(A23)-1),"mm""월 ""dd""일"""))</f>
        <v>02월 22일</v>
      </c>
      <c r="B23" s="10" t="s">
        <v>42</v>
      </c>
      <c r="C23" s="3"/>
      <c r="D23" s="3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J23" s="6"/>
      <c r="N23" s="23"/>
    </row>
    <row r="24" spans="1:12">
      <c r="A24" s="10" t="str">
        <f>IF(ROW(A24)-1&gt;DAY(EOMONTH(DATE(VALUE(설정!$B$1),2,1),0)),"",TEXT(DATE(VALUE(설정!$B$1),2,ROW(A24)-1),"mm""월 ""dd""일"""))</f>
        <v>02월 23일</v>
      </c>
      <c r="B24" s="10" t="s">
        <v>43</v>
      </c>
      <c r="C24" s="3"/>
      <c r="D24" s="3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J24" s="6"/>
      <c r="N24" s="23"/>
    </row>
    <row r="25" spans="1:12">
      <c r="A25" s="10" t="str">
        <f>IF(ROW(A25)-1&gt;DAY(EOMONTH(DATE(VALUE(설정!$B$1),2,1),0)),"",TEXT(DATE(VALUE(설정!$B$1),2,ROW(A25)-1),"mm""월 ""dd""일"""))</f>
        <v>02월 24일</v>
      </c>
      <c r="B25" s="10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J25" s="6"/>
      <c r="N25" s="23"/>
    </row>
    <row r="26" spans="1:12">
      <c r="A26" s="10" t="str">
        <f>IF(ROW(A26)-1&gt;DAY(EOMONTH(DATE(VALUE(설정!$B$1),2,1),0)),"",TEXT(DATE(VALUE(설정!$B$1),2,ROW(A26)-1),"mm""월 ""dd""일"""))</f>
        <v>02월 25일</v>
      </c>
      <c r="B26" s="10" t="s">
        <v>43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J26" s="6"/>
      <c r="N26" s="23"/>
    </row>
    <row r="27" spans="1:12">
      <c r="A27" s="10" t="str">
        <f>IF(ROW(A27)-1&gt;DAY(EOMONTH(DATE(VALUE(설정!$B$1),2,1),0)),"",TEXT(DATE(VALUE(설정!$B$1),2,ROW(A27)-1),"mm""월 ""dd""일"""))</f>
        <v>02월 26일</v>
      </c>
      <c r="B27" s="10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J27" s="6"/>
      <c r="N27" s="23"/>
    </row>
    <row r="28" spans="1:12">
      <c r="A28" s="10" t="str">
        <f>IF(ROW(A28)-1&gt;DAY(EOMONTH(DATE(VALUE(설정!$B$1),2,1),0)),"",TEXT(DATE(VALUE(설정!$B$1),2,ROW(A28)-1),"mm""월 ""dd""일"""))</f>
        <v>02월 27일</v>
      </c>
      <c r="B28" s="10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J28" s="6"/>
      <c r="N28" s="23"/>
    </row>
    <row r="29" spans="1:12">
      <c r="A29" s="10" t="str">
        <f>IF(ROW(A29)-1&gt;DAY(EOMONTH(DATE(VALUE(설정!$B$1),2,1),0)),"",TEXT(DATE(VALUE(설정!$B$1),2,ROW(A29)-1),"mm""월 ""dd""일"""))</f>
        <v>02월 28일</v>
      </c>
      <c r="B29" s="10" t="s">
        <v>42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J29" s="30"/>
      <c r="N29" s="23"/>
    </row>
    <row r="30" spans="1:12">
      <c r="A30" s="10" t="str">
        <f>IF(ROW(A30)-1&gt;DAY(EOMONTH(DATE(VALUE(설정!$B$1),2,1),0)),"",TEXT(DATE(VALUE(설정!$B$1),2,ROW(A30)-1),"mm""월 ""dd""일"""))</f>
        <v/>
      </c>
      <c r="B30" s="10"/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J30" s="55"/>
      <c r="N30" s="23"/>
    </row>
    <row r="31" spans="1:12">
      <c r="A31" s="6"/>
      <c r="B31" s="55"/>
      <c r="C31" s="5"/>
      <c r="D31" s="11" t="s">
        <v>5</v>
      </c>
      <c r="G31" s="13">
        <f>SUM(F2:F30)</f>
        <v>0</v>
      </c>
      <c r="G31" s="6" t="s">
        <v>7</v>
      </c>
      <c r="H31" s="14">
        <f>MIN(SUM(G2:H30),MAX(0,VALUE(설정!$B$7)))</f>
        <v>0</v>
      </c>
      <c r="I31"/>
      <c r="L31" s="6"/>
      <c r="M31" s="23"/>
    </row>
    <row r="32" spans="1:12">
      <c r="A32" s="6"/>
      <c r="B32" s="55"/>
      <c r="C32" s="6"/>
      <c r="D32" s="1" t="s">
        <v>6</v>
      </c>
      <c r="F32" s="12">
        <f>MAX(0, ((설정!$B$3*60) - (F31*1440)) / 1440)</f>
        <v>2.0416666666666665</v>
      </c>
      <c r="G32" s="1" t="s">
        <v>6</v>
      </c>
      <c r="H32" s="7">
        <f>MAX(0,MAX(0,VALUE(설정!$B$7))-H31)</f>
        <v>20</v>
      </c>
      <c r="I32"/>
      <c r="L32" s="6"/>
      <c r="M32" s="23"/>
    </row>
    <row r="33" spans="4:8">
      <c r="D33" s="2" t="s">
        <v>8</v>
      </c>
      <c r="F33" s="12">
        <f>IF(SUM(F2:F30)&gt;(설정!$B$3/24), (SUM(F2:F30)-(설정!$B$3/24)), 0)</f>
        <v>0</v>
      </c>
      <c r="G33" s="2" t="s">
        <v>8</v>
      </c>
      <c r="H33" s="18">
        <f>MAX(0,SUM(G2:H30)-MAX(0,VALUE(설정!$B$7)))</f>
        <v>0</v>
      </c>
      <c r="I33"/>
    </row>
    <row r="34" spans="4:8">
      <c r="D34" s="1" t="s">
        <v>32</v>
      </c>
      <c r="F34" s="2">
        <f>IF(설정!$B$6&lt;&gt;"아니오",0,COUNTIFS($B$2:$B$30,"휴일",$C$2:$C$30,"&lt;&gt;"))</f>
        <v>0</v>
      </c>
      <c r="H34" s="6">
        <f>SUM(G2:H30)</f>
        <v>0</v>
      </c>
      <c r="I34" s="25"/>
    </row>
  </sheetData>
  <phoneticPr fontId="1" type="noConversion"/>
  <conditionalFormatting sqref="A2:A30">
    <cfRule type="expression" dxfId="10" priority="1">
      <formula>AND($A2&lt;&gt;"",$B2="휴일")</formula>
    </cfRule>
  </conditionalFormatting>
  <dataValidations count="1">
    <dataValidation type="list" allowBlank="1" showInputMessage="1" showErrorMessage="1" sqref="B2:B30" xr:uid="{F7AFCE4E-4011-48C2-8CD5-BCB2CD89FA0E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M37"/>
  <sheetViews>
    <sheetView workbookViewId="0">
      <selection activeCell="L8" sqref="L8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1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  <c r="L1" s="26" t="s">
        <v>83</v>
      </c>
      <c r="M1" s="15">
        <f>MAX(0,VALUE(설정!$B$8))</f>
        <v>177</v>
      </c>
    </row>
    <row r="2" spans="1:12" ht="17.25" thickTop="1">
      <c r="A2" s="10" t="str">
        <f>IF(ROW(A2)-1&gt;DAY(EOMONTH(DATE(VALUE(설정!$B$1),3,1),0)),"",TEXT(DATE(VALUE(설정!$B$1),3,ROW(A2)-1),"mm""월 ""dd""일"""))</f>
        <v>03월 01일</v>
      </c>
      <c r="B2" s="10" t="s">
        <v>42</v>
      </c>
      <c r="C2" s="9"/>
      <c r="D2" s="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3"/>
      <c r="K2" s="35"/>
      <c r="L2" s="63" t="s">
        <v>12</v>
      </c>
      <c r="M2" s="70">
        <f>'1월'!$F$33</f>
        <v>0.54305555555555551</v>
      </c>
    </row>
    <row r="3" spans="1:12">
      <c r="A3" s="10" t="str">
        <f>IF(ROW(A3)-1&gt;DAY(EOMONTH(DATE(VALUE(설정!$B$1),3,1),0)),"",TEXT(DATE(VALUE(설정!$B$1),3,ROW(A3)-1),"mm""월 ""dd""일"""))</f>
        <v>03월 02일</v>
      </c>
      <c r="B3" s="10" t="s">
        <v>41</v>
      </c>
      <c r="C3" s="4"/>
      <c r="D3" s="4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2" si="0">IF($B3="휴일",0,IF(ISBLANK(D3),0,IF(D3&gt;=TIME(19,1,0),1,0)))</f>
        <v>0</v>
      </c>
      <c r="I3" s="2" t="s">
        <v>66</v>
      </c>
      <c r="J3" s="33"/>
      <c r="K3" s="35"/>
      <c r="L3" s="63" t="s">
        <v>81</v>
      </c>
      <c r="M3" s="70">
        <f>'2월'!$F$31</f>
        <v>0</v>
      </c>
    </row>
    <row r="4" spans="1:12">
      <c r="A4" s="10" t="str">
        <f>IF(ROW(A4)-1&gt;DAY(EOMONTH(DATE(VALUE(설정!$B$1),3,1),0)),"",TEXT(DATE(VALUE(설정!$B$1),3,ROW(A4)-1),"mm""월 ""dd""일"""))</f>
        <v>03월 03일</v>
      </c>
      <c r="B4" s="57" t="s">
        <v>43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J4" s="6"/>
      <c r="K4" s="33"/>
      <c r="L4" s="35"/>
      <c r="M4" s="63" t="s">
        <v>82</v>
      </c>
      <c r="N4" s="70">
        <f>'3월'!$F$33</f>
        <v>0</v>
      </c>
    </row>
    <row r="5" spans="1:12">
      <c r="A5" s="10" t="str">
        <f>IF(ROW(A5)-1&gt;DAY(EOMONTH(DATE(VALUE(설정!$B$1),3,1),0)),"",TEXT(DATE(VALUE(설정!$B$1),3,ROW(A5)-1),"mm""월 ""dd""일"""))</f>
        <v>03월 04일</v>
      </c>
      <c r="B5" s="57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J5" s="6"/>
      <c r="K5" s="33"/>
      <c r="L5" s="35"/>
      <c r="M5" s="64" t="s">
        <v>5</v>
      </c>
      <c r="N5" s="65">
        <f>SUM(M2:M4)</f>
        <v>0.54305555555555551</v>
      </c>
    </row>
    <row r="6" spans="1:12">
      <c r="A6" s="10" t="str">
        <f>IF(ROW(A6)-1&gt;DAY(EOMONTH(DATE(VALUE(설정!$B$1),3,1),0)),"",TEXT(DATE(VALUE(설정!$B$1),3,ROW(A6)-1),"mm""월 ""dd""일"""))</f>
        <v>03월 05일</v>
      </c>
      <c r="B6" s="57" t="s">
        <v>43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J6" s="6"/>
      <c r="K6" s="33"/>
      <c r="L6" s="35"/>
      <c r="M6" s="66" t="s">
        <v>84</v>
      </c>
      <c r="N6" s="67">
        <f>MAX(0,(MAX(0,VALUE(설정!$B$8))/24)-M5)</f>
        <v>0</v>
      </c>
    </row>
    <row r="7" spans="1:12">
      <c r="A7" s="10" t="str">
        <f>IF(ROW(A7)-1&gt;DAY(EOMONTH(DATE(VALUE(설정!$B$1),3,1),0)),"",TEXT(DATE(VALUE(설정!$B$1),3,ROW(A7)-1),"mm""월 ""dd""일"""))</f>
        <v>03월 06일</v>
      </c>
      <c r="B7" s="57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J7" s="6"/>
      <c r="K7" s="33"/>
      <c r="L7" s="35"/>
      <c r="M7" s="68" t="s">
        <v>85</v>
      </c>
      <c r="N7" s="69">
        <f>MAX(0,M5-(MAX(0,VALUE(설정!$B$8))/24))</f>
        <v>0</v>
      </c>
    </row>
    <row r="8" spans="1:12">
      <c r="A8" s="10" t="str">
        <f>IF(ROW(A8)-1&gt;DAY(EOMONTH(DATE(VALUE(설정!$B$1),3,1),0)),"",TEXT(DATE(VALUE(설정!$B$1),3,ROW(A8)-1),"mm""월 ""dd""일"""))</f>
        <v>03월 07일</v>
      </c>
      <c r="B8" s="10" t="s">
        <v>42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J8" s="6"/>
      <c r="K8" s="33"/>
      <c r="L8" s="35"/>
      <c r="M8" s="23" t="s">
        <v>95</v>
      </c>
    </row>
    <row r="9" spans="1:12">
      <c r="A9" s="10" t="str">
        <f>IF(ROW(A9)-1&gt;DAY(EOMONTH(DATE(VALUE(설정!$B$1),3,1),0)),"",TEXT(DATE(VALUE(설정!$B$1),3,ROW(A9)-1),"mm""월 ""dd""일"""))</f>
        <v>03월 08일</v>
      </c>
      <c r="B9" s="10" t="s">
        <v>42</v>
      </c>
      <c r="C9" s="4"/>
      <c r="D9" s="4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J9" s="6"/>
      <c r="K9" s="33"/>
      <c r="L9" s="26" t="inlineStr">
        <is>
          <t>분기급량상한</t>
        </is>
      </c>
      <c r="M9" s="15">
        <f>MAX(0,VALUE(설정!$B$9))</f>
        <v/>
      </c>
    </row>
    <row r="10" spans="1:12">
      <c r="A10" s="10" t="str">
        <f>IF(ROW(A10)-1&gt;DAY(EOMONTH(DATE(VALUE(설정!$B$1),3,1),0)),"",TEXT(DATE(VALUE(설정!$B$1),3,ROW(A10)-1),"mm""월 ""dd""일"""))</f>
        <v>03월 09일</v>
      </c>
      <c r="B10" s="57" t="s">
        <v>43</v>
      </c>
      <c r="C10" s="4"/>
      <c r="D10" s="4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J10" s="45"/>
      <c r="K10" s="33"/>
      <c r="L10" s="26" t="inlineStr">
        <is>
          <t>1월</t>
        </is>
      </c>
      <c r="M10" s="15">
        <f>'1월'!$H$33</f>
        <v/>
      </c>
    </row>
    <row r="11" spans="1:12">
      <c r="A11" s="10" t="str">
        <f>IF(ROW(A11)-1&gt;DAY(EOMONTH(DATE(VALUE(설정!$B$1),3,1),0)),"",TEXT(DATE(VALUE(설정!$B$1),3,ROW(A11)-1),"mm""월 ""dd""일"""))</f>
        <v>03월 10일</v>
      </c>
      <c r="B11" s="57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J11" s="6"/>
      <c r="K11" s="33"/>
      <c r="L11" s="26" t="inlineStr">
        <is>
          <t>2월</t>
        </is>
      </c>
      <c r="M11" s="15">
        <f>'2월'!$H$31</f>
        <v/>
      </c>
    </row>
    <row r="12" spans="1:12">
      <c r="A12" s="10" t="str">
        <f>IF(ROW(A12)-1&gt;DAY(EOMONTH(DATE(VALUE(설정!$B$1),3,1),0)),"",TEXT(DATE(VALUE(설정!$B$1),3,ROW(A12)-1),"mm""월 ""dd""일"""))</f>
        <v>03월 11일</v>
      </c>
      <c r="B12" s="57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J12" s="6"/>
      <c r="K12" s="33"/>
      <c r="L12" s="26" t="inlineStr">
        <is>
          <t>3월</t>
        </is>
      </c>
      <c r="M12" s="15">
        <f>'3월'!$H$33</f>
        <v/>
      </c>
    </row>
    <row r="13" spans="1:12">
      <c r="A13" s="10" t="str">
        <f>IF(ROW(A13)-1&gt;DAY(EOMONTH(DATE(VALUE(설정!$B$1),3,1),0)),"",TEXT(DATE(VALUE(설정!$B$1),3,ROW(A13)-1),"mm""월 ""dd""일"""))</f>
        <v>03월 12일</v>
      </c>
      <c r="B13" s="57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J13" s="6"/>
      <c r="K13" s="33"/>
      <c r="L13" s="26" t="inlineStr">
        <is>
          <t>분기급량합계</t>
        </is>
      </c>
      <c r="M13" s="15">
        <f>SUM(M10:M12)</f>
        <v/>
      </c>
    </row>
    <row r="14" spans="1:12">
      <c r="A14" s="10" t="str">
        <f>IF(ROW(A14)-1&gt;DAY(EOMONTH(DATE(VALUE(설정!$B$1),3,1),0)),"",TEXT(DATE(VALUE(설정!$B$1),3,ROW(A14)-1),"mm""월 ""dd""일"""))</f>
        <v>03월 13일</v>
      </c>
      <c r="B14" s="57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J14" s="6"/>
      <c r="K14" s="33"/>
      <c r="L14" s="26" t="inlineStr">
        <is>
          <t>분기급량미달</t>
        </is>
      </c>
      <c r="M14" s="15">
        <f>MAX(0,M9-M13)</f>
        <v/>
      </c>
    </row>
    <row r="15" spans="1:12">
      <c r="A15" s="10" t="str">
        <f>IF(ROW(A15)-1&gt;DAY(EOMONTH(DATE(VALUE(설정!$B$1),3,1),0)),"",TEXT(DATE(VALUE(설정!$B$1),3,ROW(A15)-1),"mm""월 ""dd""일"""))</f>
        <v>03월 14일</v>
      </c>
      <c r="B15" s="10" t="s">
        <v>42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J15" s="6"/>
      <c r="K15" s="33"/>
      <c r="L15" s="26" t="inlineStr">
        <is>
          <t>분기급량초과</t>
        </is>
      </c>
      <c r="M15" s="15">
        <f>MAX(0,M13-M9)</f>
        <v/>
      </c>
    </row>
    <row r="16" spans="1:12">
      <c r="A16" s="10" t="str">
        <f>IF(ROW(A16)-1&gt;DAY(EOMONTH(DATE(VALUE(설정!$B$1),3,1),0)),"",TEXT(DATE(VALUE(설정!$B$1),3,ROW(A16)-1),"mm""월 ""dd""일"""))</f>
        <v>03월 15일</v>
      </c>
      <c r="B16" s="10" t="s">
        <v>42</v>
      </c>
      <c r="C16" s="4"/>
      <c r="D16" s="4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J16" s="6"/>
      <c r="K16" s="33"/>
      <c r="L16" s="35"/>
      <c r="M16" s="23"/>
    </row>
    <row r="17" spans="1:11">
      <c r="A17" s="10" t="str">
        <f>IF(ROW(A17)-1&gt;DAY(EOMONTH(DATE(VALUE(설정!$B$1),3,1),0)),"",TEXT(DATE(VALUE(설정!$B$1),3,ROW(A17)-1),"mm""월 ""dd""일"""))</f>
        <v>03월 16일</v>
      </c>
      <c r="B17" s="57" t="s">
        <v>43</v>
      </c>
      <c r="C17" s="4"/>
      <c r="D17" s="4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J17" s="6"/>
      <c r="K17" s="33"/>
      <c r="L17" s="35"/>
      <c r="M17" s="23"/>
    </row>
    <row r="18" spans="1:11">
      <c r="A18" s="10" t="str">
        <f>IF(ROW(A18)-1&gt;DAY(EOMONTH(DATE(VALUE(설정!$B$1),3,1),0)),"",TEXT(DATE(VALUE(설정!$B$1),3,ROW(A18)-1),"mm""월 ""dd""일"""))</f>
        <v>03월 17일</v>
      </c>
      <c r="B18" s="57" t="s">
        <v>43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J18" s="6"/>
      <c r="K18" s="33"/>
      <c r="L18" s="35"/>
      <c r="M18" s="23"/>
    </row>
    <row r="19" spans="1:11">
      <c r="A19" s="10" t="str">
        <f>IF(ROW(A19)-1&gt;DAY(EOMONTH(DATE(VALUE(설정!$B$1),3,1),0)),"",TEXT(DATE(VALUE(설정!$B$1),3,ROW(A19)-1),"mm""월 ""dd""일"""))</f>
        <v>03월 18일</v>
      </c>
      <c r="B19" s="57" t="s">
        <v>43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J19" s="6"/>
      <c r="K19" s="33"/>
      <c r="L19" s="35"/>
      <c r="M19" s="23"/>
    </row>
    <row r="20" spans="1:11">
      <c r="A20" s="10" t="str">
        <f>IF(ROW(A20)-1&gt;DAY(EOMONTH(DATE(VALUE(설정!$B$1),3,1),0)),"",TEXT(DATE(VALUE(설정!$B$1),3,ROW(A20)-1),"mm""월 ""dd""일"""))</f>
        <v>03월 19일</v>
      </c>
      <c r="B20" s="57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J20" s="6"/>
      <c r="K20" s="33"/>
      <c r="L20" s="35"/>
      <c r="M20" s="23"/>
    </row>
    <row r="21" spans="1:11">
      <c r="A21" s="10" t="str">
        <f>IF(ROW(A21)-1&gt;DAY(EOMONTH(DATE(VALUE(설정!$B$1),3,1),0)),"",TEXT(DATE(VALUE(설정!$B$1),3,ROW(A21)-1),"mm""월 ""dd""일"""))</f>
        <v>03월 20일</v>
      </c>
      <c r="B21" s="57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J21" s="6"/>
      <c r="K21" s="33"/>
      <c r="L21" s="35"/>
      <c r="M21" s="23"/>
    </row>
    <row r="22" spans="1:11">
      <c r="A22" s="10" t="str">
        <f>IF(ROW(A22)-1&gt;DAY(EOMONTH(DATE(VALUE(설정!$B$1),3,1),0)),"",TEXT(DATE(VALUE(설정!$B$1),3,ROW(A22)-1),"mm""월 ""dd""일"""))</f>
        <v>03월 21일</v>
      </c>
      <c r="B22" s="10" t="s">
        <v>42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J22" s="6"/>
      <c r="K22" s="33"/>
      <c r="L22" s="35"/>
      <c r="M22" s="23"/>
    </row>
    <row r="23" spans="1:11">
      <c r="A23" s="10" t="str">
        <f>IF(ROW(A23)-1&gt;DAY(EOMONTH(DATE(VALUE(설정!$B$1),3,1),0)),"",TEXT(DATE(VALUE(설정!$B$1),3,ROW(A23)-1),"mm""월 ""dd""일"""))</f>
        <v>03월 22일</v>
      </c>
      <c r="B23" s="10" t="s">
        <v>42</v>
      </c>
      <c r="C23" s="4"/>
      <c r="D23" s="4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J23" s="45"/>
      <c r="K23" s="33"/>
      <c r="L23" s="35"/>
      <c r="M23" s="23"/>
    </row>
    <row r="24" spans="1:11">
      <c r="A24" s="10" t="str">
        <f>IF(ROW(A24)-1&gt;DAY(EOMONTH(DATE(VALUE(설정!$B$1),3,1),0)),"",TEXT(DATE(VALUE(설정!$B$1),3,ROW(A24)-1),"mm""월 ""dd""일"""))</f>
        <v>03월 23일</v>
      </c>
      <c r="B24" s="57" t="s">
        <v>43</v>
      </c>
      <c r="C24" s="4"/>
      <c r="D24" s="4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J24" s="45"/>
      <c r="K24" s="33"/>
      <c r="L24" s="35"/>
      <c r="M24" s="23"/>
    </row>
    <row r="25" spans="1:11">
      <c r="A25" s="10" t="str">
        <f>IF(ROW(A25)-1&gt;DAY(EOMONTH(DATE(VALUE(설정!$B$1),3,1),0)),"",TEXT(DATE(VALUE(설정!$B$1),3,ROW(A25)-1),"mm""월 ""dd""일"""))</f>
        <v>03월 24일</v>
      </c>
      <c r="B25" s="57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J25" s="6"/>
      <c r="K25" s="33"/>
      <c r="L25" s="35"/>
      <c r="M25" s="23"/>
    </row>
    <row r="26" spans="1:11">
      <c r="A26" s="10" t="str">
        <f>IF(ROW(A26)-1&gt;DAY(EOMONTH(DATE(VALUE(설정!$B$1),3,1),0)),"",TEXT(DATE(VALUE(설정!$B$1),3,ROW(A26)-1),"mm""월 ""dd""일"""))</f>
        <v>03월 25일</v>
      </c>
      <c r="B26" s="57" t="s">
        <v>43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J26" s="6"/>
      <c r="K26" s="33"/>
      <c r="L26" s="35"/>
      <c r="M26" s="23"/>
    </row>
    <row r="27" spans="1:11">
      <c r="A27" s="10" t="str">
        <f>IF(ROW(A27)-1&gt;DAY(EOMONTH(DATE(VALUE(설정!$B$1),3,1),0)),"",TEXT(DATE(VALUE(설정!$B$1),3,ROW(A27)-1),"mm""월 ""dd""일"""))</f>
        <v>03월 26일</v>
      </c>
      <c r="B27" s="57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J27" s="6"/>
      <c r="K27" s="33"/>
      <c r="L27" s="35"/>
      <c r="M27" s="23"/>
    </row>
    <row r="28" spans="1:11">
      <c r="A28" s="10" t="str">
        <f>IF(ROW(A28)-1&gt;DAY(EOMONTH(DATE(VALUE(설정!$B$1),3,1),0)),"",TEXT(DATE(VALUE(설정!$B$1),3,ROW(A28)-1),"mm""월 ""dd""일"""))</f>
        <v>03월 27일</v>
      </c>
      <c r="B28" s="57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J28" s="6"/>
      <c r="K28" s="33"/>
      <c r="L28" s="35"/>
      <c r="M28" s="23"/>
    </row>
    <row r="29" spans="1:11">
      <c r="A29" s="10" t="str">
        <f>IF(ROW(A29)-1&gt;DAY(EOMONTH(DATE(VALUE(설정!$B$1),3,1),0)),"",TEXT(DATE(VALUE(설정!$B$1),3,ROW(A29)-1),"mm""월 ""dd""일"""))</f>
        <v>03월 28일</v>
      </c>
      <c r="B29" s="10" t="s">
        <v>42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J29" s="6"/>
      <c r="K29" s="33"/>
      <c r="L29" s="35"/>
      <c r="M29" s="23"/>
    </row>
    <row r="30" spans="1:11">
      <c r="A30" s="10" t="str">
        <f>IF(ROW(A30)-1&gt;DAY(EOMONTH(DATE(VALUE(설정!$B$1),3,1),0)),"",TEXT(DATE(VALUE(설정!$B$1),3,ROW(A30)-1),"mm""월 ""dd""일"""))</f>
        <v>03월 29일</v>
      </c>
      <c r="B30" s="10" t="s">
        <v>42</v>
      </c>
      <c r="C30" s="9"/>
      <c r="D30" s="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J30" s="45"/>
      <c r="K30" s="33"/>
      <c r="L30" s="35"/>
      <c r="M30" s="23"/>
    </row>
    <row r="31" spans="1:11">
      <c r="A31" s="10" t="str">
        <f>IF(ROW(A31)-1&gt;DAY(EOMONTH(DATE(VALUE(설정!$B$1),3,1),0)),"",TEXT(DATE(VALUE(설정!$B$1),3,ROW(A31)-1),"mm""월 ""dd""일"""))</f>
        <v>03월 30일</v>
      </c>
      <c r="B31" s="57" t="s">
        <v>43</v>
      </c>
      <c r="C31" s="9"/>
      <c r="D31" s="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J31" s="6"/>
      <c r="K31" s="33"/>
      <c r="L31" s="35"/>
      <c r="M31" s="23"/>
    </row>
    <row r="32" spans="1:11">
      <c r="A32" s="10" t="str">
        <f>IF(ROW(A32)-1&gt;DAY(EOMONTH(DATE(VALUE(설정!$B$1),3,1),0)),"",TEXT(DATE(VALUE(설정!$B$1),3,ROW(A32)-1),"mm""월 ""dd""일"""))</f>
        <v>03월 31일</v>
      </c>
      <c r="B32" s="57" t="s">
        <v>43</v>
      </c>
      <c r="C32" s="4"/>
      <c r="D32" s="4"/>
      <c r="E32" s="19">
        <f>IF($A32="",0,IF($B32="평일",TIME(1,0,0),0))</f>
        <v/>
      </c>
      <c r="F32" s="19">
        <f>IF(OR($C32="",$D32=""),0,IF(AND($B32="휴일",설정!$B$6="예"),MIN(MAX(0,VALUE(설정!$B$2))/24,MAX(0,(MIN(IF(VALUE(설정!$B$2)=4,IF(AND($D32&gt;TIME(18,0,0),$D32&lt;TIME(19,1,0)),TIME(18,0,0),$D32),$D32),설정!$B$5)-MAX(IF(VALUE(설정!$B$2)=4,IF(AND($C32&gt;=TIME(8,0,0),$C32&lt;TIME(9,0,0)),TIME(9,0,0),$C32),$C32),설정!$B$4))-$E32)),IF($B32="평일",MIN(MAX(0,VALUE(설정!$B$2))/24,MAX(0,(MIN(IF(VALUE(설정!$B$2)=4,IF(AND($D32&gt;TIME(18,0,0),$D32&lt;TIME(19,1,0)),TIME(18,0,0),$D32),$D32),설정!$B$5)-MAX(IF(VALUE(설정!$B$2)=4,IF(AND($C32&gt;=TIME(8,0,0),$C32&lt;TIME(9,0,0)),TIME(9,0,0),$C32),$C32),설정!$B$4))-TIME(9,0,0)-$E32)),0)))</f>
        <v/>
      </c>
      <c r="G32" s="8">
        <f>IF($B32="휴일",IF(설정!$B$6="예",IF(ROUND($F32*86400,0)&gt;=3660,1,0),0),IF(ISBLANK(C32),0,IF(C32&lt;=TIME(7,59,59),1,0)))</f>
        <v>0</v>
      </c>
      <c r="H32" s="8">
        <f t="shared" si="0"/>
        <v>0</v>
      </c>
      <c r="J32" s="6"/>
      <c r="K32" s="33"/>
      <c r="L32" s="35"/>
      <c r="M32" s="23"/>
    </row>
    <row r="33" spans="1:11">
      <c r="A33" s="6"/>
      <c r="B33" s="55"/>
      <c r="C33" s="5"/>
      <c r="D33" s="11" t="s">
        <v>5</v>
      </c>
      <c r="G33" s="13">
        <f>SUM(F2:F32)</f>
        <v>0</v>
      </c>
      <c r="G33" s="6" t="s">
        <v>7</v>
      </c>
      <c r="H33" s="14">
        <f>MIN(SUM(G2:H32),MAX(0,VALUE(설정!$B$7)))</f>
        <v>0</v>
      </c>
      <c r="L33" s="23"/>
    </row>
    <row r="34" spans="1:11">
      <c r="A34" s="6"/>
      <c r="B34" s="55"/>
      <c r="C34" s="6"/>
      <c r="D34" s="1" t="s">
        <v>6</v>
      </c>
      <c r="F34" s="12">
        <f>MAX(0, ((설정!$B$3*60) - (F33*1440)) / 1440)</f>
        <v>2.0416666666666665</v>
      </c>
      <c r="G34" s="1" t="s">
        <v>6</v>
      </c>
      <c r="H34" s="7">
        <f>MAX(0,MAX(0,VALUE(설정!$B$7))-H33)</f>
        <v>20</v>
      </c>
      <c r="I34" s="6"/>
      <c r="L34" s="23"/>
    </row>
    <row r="35" spans="1:11">
      <c r="D35" s="2" t="s">
        <v>8</v>
      </c>
      <c r="F35" s="12">
        <f>IF(SUM(F2:F32)&gt;(설정!$B$3/24), (SUM(F2:F32)-(설정!$B$3/24)), 0)</f>
        <v>0</v>
      </c>
      <c r="G35" s="2" t="s">
        <v>8</v>
      </c>
      <c r="H35" s="18">
        <f>MAX(0,SUM(G2:H32)-MAX(0,VALUE(설정!$B$7)))</f>
        <v>0</v>
      </c>
    </row>
    <row r="36" spans="1:11">
      <c r="D36" s="1" t="s">
        <v>32</v>
      </c>
      <c r="F36" s="2">
        <f>IF(설정!$B$6&lt;&gt;"아니오",0,COUNTIFS($B$2:$B$32,"휴일",$C$2:$C$32,"&lt;&gt;"))</f>
        <v>0</v>
      </c>
      <c r="H36" s="6">
        <f>SUM(G2:H32)</f>
        <v>0</v>
      </c>
    </row>
    <row r="37" spans="1:11">
      <c r="F37"/>
    </row>
  </sheetData>
  <phoneticPr fontId="1" type="noConversion"/>
  <conditionalFormatting sqref="A2:A32">
    <cfRule type="expression" dxfId="9" priority="1">
      <formula>AND($A2&lt;&gt;"",$B2="휴일")</formula>
    </cfRule>
  </conditionalFormatting>
  <dataValidations count="1">
    <dataValidation type="list" allowBlank="1" showInputMessage="1" showErrorMessage="1" sqref="B2:B32" xr:uid="{3B9D86CB-75DA-4BC1-BEFC-232762858BB4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M36"/>
  <sheetViews>
    <sheetView workbookViewId="0">
      <selection activeCell="C2" sqref="C2:D2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</row>
    <row r="2" spans="1:12" ht="17.25" thickTop="1">
      <c r="A2" s="10" t="str">
        <f>IF(ROW(A2)-1&gt;DAY(EOMONTH(DATE(VALUE(설정!$B$1),4,1),0)),"",TEXT(DATE(VALUE(설정!$B$1),4,ROW(A2)-1),"mm""월 ""dd""일"""))</f>
        <v>04월 01일</v>
      </c>
      <c r="B2" s="10" t="s">
        <v>43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I2" s="73"/>
      <c r="J2" s="36"/>
      <c r="K2" s="35"/>
      <c r="M2" s="20"/>
    </row>
    <row r="3" spans="1:12">
      <c r="A3" s="10" t="str">
        <f>IF(ROW(A3)-1&gt;DAY(EOMONTH(DATE(VALUE(설정!$B$1),4,1),0)),"",TEXT(DATE(VALUE(설정!$B$1),4,ROW(A3)-1),"mm""월 ""dd""일"""))</f>
        <v>04월 02일</v>
      </c>
      <c r="B3" s="10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1" si="0">IF($B3="휴일",0,IF(ISBLANK(D3),0,IF(D3&gt;=TIME(19,1,0),1,0)))</f>
        <v>0</v>
      </c>
      <c r="I3" s="74"/>
      <c r="J3" s="37"/>
      <c r="K3" s="35"/>
      <c r="M3" s="20"/>
    </row>
    <row r="4" spans="1:12">
      <c r="A4" s="10" t="str">
        <f>IF(ROW(A4)-1&gt;DAY(EOMONTH(DATE(VALUE(설정!$B$1),4,1),0)),"",TEXT(DATE(VALUE(설정!$B$1),4,ROW(A4)-1),"mm""월 ""dd""일"""))</f>
        <v>04월 03일</v>
      </c>
      <c r="B4" s="10" t="s">
        <v>43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J4" s="74"/>
      <c r="K4" s="33"/>
      <c r="L4" s="35"/>
      <c r="M4" s="23"/>
    </row>
    <row r="5" spans="1:12">
      <c r="A5" s="10" t="str">
        <f>IF(ROW(A5)-1&gt;DAY(EOMONTH(DATE(VALUE(설정!$B$1),4,1),0)),"",TEXT(DATE(VALUE(설정!$B$1),4,ROW(A5)-1),"mm""월 ""dd""일"""))</f>
        <v>04월 04일</v>
      </c>
      <c r="B5" s="57" t="s">
        <v>42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J5" s="74"/>
      <c r="K5" s="33"/>
      <c r="L5" s="35"/>
      <c r="M5" s="23"/>
    </row>
    <row r="6" spans="1:12">
      <c r="A6" s="10" t="str">
        <f>IF(ROW(A6)-1&gt;DAY(EOMONTH(DATE(VALUE(설정!$B$1),4,1),0)),"",TEXT(DATE(VALUE(설정!$B$1),4,ROW(A6)-1),"mm""월 ""dd""일"""))</f>
        <v>04월 05일</v>
      </c>
      <c r="B6" s="57" t="s">
        <v>42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J6" s="74"/>
      <c r="K6" s="33"/>
      <c r="L6" s="35"/>
      <c r="M6" s="23"/>
    </row>
    <row r="7" spans="1:12">
      <c r="A7" s="10" t="str">
        <f>IF(ROW(A7)-1&gt;DAY(EOMONTH(DATE(VALUE(설정!$B$1),4,1),0)),"",TEXT(DATE(VALUE(설정!$B$1),4,ROW(A7)-1),"mm""월 ""dd""일"""))</f>
        <v>04월 06일</v>
      </c>
      <c r="B7" s="10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J7" s="74"/>
      <c r="K7" s="33"/>
      <c r="L7" s="35"/>
      <c r="M7" s="23"/>
    </row>
    <row r="8" spans="1:12">
      <c r="A8" s="10" t="str">
        <f>IF(ROW(A8)-1&gt;DAY(EOMONTH(DATE(VALUE(설정!$B$1),4,1),0)),"",TEXT(DATE(VALUE(설정!$B$1),4,ROW(A8)-1),"mm""월 ""dd""일"""))</f>
        <v>04월 07일</v>
      </c>
      <c r="B8" s="10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J8" s="74"/>
      <c r="K8" s="33"/>
      <c r="L8" s="35"/>
      <c r="M8" s="23"/>
    </row>
    <row r="9" spans="1:12">
      <c r="A9" s="10" t="str">
        <f>IF(ROW(A9)-1&gt;DAY(EOMONTH(DATE(VALUE(설정!$B$1),4,1),0)),"",TEXT(DATE(VALUE(설정!$B$1),4,ROW(A9)-1),"mm""월 ""dd""일"""))</f>
        <v>04월 08일</v>
      </c>
      <c r="B9" s="10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J9" s="74"/>
      <c r="K9" s="33"/>
      <c r="L9" s="35"/>
      <c r="M9" s="23"/>
    </row>
    <row r="10" spans="1:12">
      <c r="A10" s="10" t="str">
        <f>IF(ROW(A10)-1&gt;DAY(EOMONTH(DATE(VALUE(설정!$B$1),4,1),0)),"",TEXT(DATE(VALUE(설정!$B$1),4,ROW(A10)-1),"mm""월 ""dd""일"""))</f>
        <v>04월 09일</v>
      </c>
      <c r="B10" s="10" t="s">
        <v>43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J10" s="74"/>
      <c r="K10" s="33"/>
      <c r="L10" s="35"/>
      <c r="M10" s="23"/>
    </row>
    <row r="11" spans="1:12">
      <c r="A11" s="10" t="str">
        <f>IF(ROW(A11)-1&gt;DAY(EOMONTH(DATE(VALUE(설정!$B$1),4,1),0)),"",TEXT(DATE(VALUE(설정!$B$1),4,ROW(A11)-1),"mm""월 ""dd""일"""))</f>
        <v>04월 10일</v>
      </c>
      <c r="B11" s="10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J11" s="74"/>
      <c r="K11" s="33"/>
      <c r="L11" s="35"/>
      <c r="M11" s="23"/>
    </row>
    <row r="12" spans="1:12">
      <c r="A12" s="10" t="str">
        <f>IF(ROW(A12)-1&gt;DAY(EOMONTH(DATE(VALUE(설정!$B$1),4,1),0)),"",TEXT(DATE(VALUE(설정!$B$1),4,ROW(A12)-1),"mm""월 ""dd""일"""))</f>
        <v>04월 11일</v>
      </c>
      <c r="B12" s="57" t="s">
        <v>42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J12" s="74"/>
      <c r="K12" s="33"/>
      <c r="L12" s="35"/>
      <c r="M12" s="23"/>
    </row>
    <row r="13" spans="1:12">
      <c r="A13" s="10" t="str">
        <f>IF(ROW(A13)-1&gt;DAY(EOMONTH(DATE(VALUE(설정!$B$1),4,1),0)),"",TEXT(DATE(VALUE(설정!$B$1),4,ROW(A13)-1),"mm""월 ""dd""일"""))</f>
        <v>04월 12일</v>
      </c>
      <c r="B13" s="57" t="s">
        <v>42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J13" s="74"/>
      <c r="K13" s="33"/>
      <c r="L13" s="35"/>
      <c r="M13" s="23"/>
    </row>
    <row r="14" spans="1:12">
      <c r="A14" s="10" t="str">
        <f>IF(ROW(A14)-1&gt;DAY(EOMONTH(DATE(VALUE(설정!$B$1),4,1),0)),"",TEXT(DATE(VALUE(설정!$B$1),4,ROW(A14)-1),"mm""월 ""dd""일"""))</f>
        <v>04월 13일</v>
      </c>
      <c r="B14" s="10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J14" s="74"/>
      <c r="K14" s="33"/>
      <c r="L14" s="35"/>
      <c r="M14" s="23"/>
    </row>
    <row r="15" spans="1:12">
      <c r="A15" s="10" t="str">
        <f>IF(ROW(A15)-1&gt;DAY(EOMONTH(DATE(VALUE(설정!$B$1),4,1),0)),"",TEXT(DATE(VALUE(설정!$B$1),4,ROW(A15)-1),"mm""월 ""dd""일"""))</f>
        <v>04월 14일</v>
      </c>
      <c r="B15" s="10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J15" s="74"/>
      <c r="K15" s="33"/>
      <c r="L15" s="35"/>
      <c r="M15" s="23"/>
    </row>
    <row r="16" spans="1:12">
      <c r="A16" s="10" t="str">
        <f>IF(ROW(A16)-1&gt;DAY(EOMONTH(DATE(VALUE(설정!$B$1),4,1),0)),"",TEXT(DATE(VALUE(설정!$B$1),4,ROW(A16)-1),"mm""월 ""dd""일"""))</f>
        <v>04월 15일</v>
      </c>
      <c r="B16" s="10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J16" s="74"/>
      <c r="K16" s="33"/>
      <c r="L16" s="35"/>
      <c r="M16" s="23"/>
    </row>
    <row r="17" spans="1:11">
      <c r="A17" s="10" t="str">
        <f>IF(ROW(A17)-1&gt;DAY(EOMONTH(DATE(VALUE(설정!$B$1),4,1),0)),"",TEXT(DATE(VALUE(설정!$B$1),4,ROW(A17)-1),"mm""월 ""dd""일"""))</f>
        <v>04월 16일</v>
      </c>
      <c r="B17" s="10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J17" s="74"/>
      <c r="K17" s="33"/>
      <c r="L17" s="35"/>
      <c r="M17" s="23"/>
    </row>
    <row r="18" spans="1:11">
      <c r="A18" s="10" t="str">
        <f>IF(ROW(A18)-1&gt;DAY(EOMONTH(DATE(VALUE(설정!$B$1),4,1),0)),"",TEXT(DATE(VALUE(설정!$B$1),4,ROW(A18)-1),"mm""월 ""dd""일"""))</f>
        <v>04월 17일</v>
      </c>
      <c r="B18" s="10" t="s">
        <v>43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J18" s="74"/>
      <c r="K18" s="33"/>
      <c r="L18" s="35"/>
      <c r="M18" s="23"/>
    </row>
    <row r="19" spans="1:11">
      <c r="A19" s="10" t="str">
        <f>IF(ROW(A19)-1&gt;DAY(EOMONTH(DATE(VALUE(설정!$B$1),4,1),0)),"",TEXT(DATE(VALUE(설정!$B$1),4,ROW(A19)-1),"mm""월 ""dd""일"""))</f>
        <v>04월 18일</v>
      </c>
      <c r="B19" s="57" t="s">
        <v>42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J19" s="74"/>
      <c r="K19" s="33"/>
      <c r="L19" s="35"/>
      <c r="M19" s="23"/>
    </row>
    <row r="20" spans="1:11">
      <c r="A20" s="10" t="str">
        <f>IF(ROW(A20)-1&gt;DAY(EOMONTH(DATE(VALUE(설정!$B$1),4,1),0)),"",TEXT(DATE(VALUE(설정!$B$1),4,ROW(A20)-1),"mm""월 ""dd""일"""))</f>
        <v>04월 19일</v>
      </c>
      <c r="B20" s="57" t="s">
        <v>42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J20" s="74"/>
      <c r="K20" s="33"/>
      <c r="L20" s="35"/>
      <c r="M20" s="23"/>
    </row>
    <row r="21" spans="1:11">
      <c r="A21" s="10" t="str">
        <f>IF(ROW(A21)-1&gt;DAY(EOMONTH(DATE(VALUE(설정!$B$1),4,1),0)),"",TEXT(DATE(VALUE(설정!$B$1),4,ROW(A21)-1),"mm""월 ""dd""일"""))</f>
        <v>04월 20일</v>
      </c>
      <c r="B21" s="10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J21" s="74"/>
      <c r="K21" s="33"/>
      <c r="L21" s="35"/>
      <c r="M21" s="23"/>
    </row>
    <row r="22" spans="1:11">
      <c r="A22" s="10" t="str">
        <f>IF(ROW(A22)-1&gt;DAY(EOMONTH(DATE(VALUE(설정!$B$1),4,1),0)),"",TEXT(DATE(VALUE(설정!$B$1),4,ROW(A22)-1),"mm""월 ""dd""일"""))</f>
        <v>04월 21일</v>
      </c>
      <c r="B22" s="10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J22" s="74"/>
      <c r="K22" s="33"/>
      <c r="L22" s="35"/>
      <c r="M22" s="23"/>
    </row>
    <row r="23" spans="1:11">
      <c r="A23" s="10" t="str">
        <f>IF(ROW(A23)-1&gt;DAY(EOMONTH(DATE(VALUE(설정!$B$1),4,1),0)),"",TEXT(DATE(VALUE(설정!$B$1),4,ROW(A23)-1),"mm""월 ""dd""일"""))</f>
        <v>04월 22일</v>
      </c>
      <c r="B23" s="10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J23" s="74"/>
      <c r="K23" s="33"/>
      <c r="L23" s="35"/>
      <c r="M23" s="23"/>
    </row>
    <row r="24" spans="1:11">
      <c r="A24" s="10" t="str">
        <f>IF(ROW(A24)-1&gt;DAY(EOMONTH(DATE(VALUE(설정!$B$1),4,1),0)),"",TEXT(DATE(VALUE(설정!$B$1),4,ROW(A24)-1),"mm""월 ""dd""일"""))</f>
        <v>04월 23일</v>
      </c>
      <c r="B24" s="10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J24" s="74"/>
      <c r="K24" s="33"/>
      <c r="L24" s="35"/>
      <c r="M24" s="23"/>
    </row>
    <row r="25" spans="1:11">
      <c r="A25" s="10" t="str">
        <f>IF(ROW(A25)-1&gt;DAY(EOMONTH(DATE(VALUE(설정!$B$1),4,1),0)),"",TEXT(DATE(VALUE(설정!$B$1),4,ROW(A25)-1),"mm""월 ""dd""일"""))</f>
        <v>04월 24일</v>
      </c>
      <c r="B25" s="10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J25" s="74"/>
      <c r="K25" s="33"/>
      <c r="L25" s="35"/>
      <c r="M25" s="23"/>
    </row>
    <row r="26" spans="1:11">
      <c r="A26" s="10" t="str">
        <f>IF(ROW(A26)-1&gt;DAY(EOMONTH(DATE(VALUE(설정!$B$1),4,1),0)),"",TEXT(DATE(VALUE(설정!$B$1),4,ROW(A26)-1),"mm""월 ""dd""일"""))</f>
        <v>04월 25일</v>
      </c>
      <c r="B26" s="57" t="s">
        <v>42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J26" s="74"/>
      <c r="K26" s="33"/>
      <c r="L26" s="35"/>
      <c r="M26" s="23"/>
    </row>
    <row r="27" spans="1:11">
      <c r="A27" s="10" t="str">
        <f>IF(ROW(A27)-1&gt;DAY(EOMONTH(DATE(VALUE(설정!$B$1),4,1),0)),"",TEXT(DATE(VALUE(설정!$B$1),4,ROW(A27)-1),"mm""월 ""dd""일"""))</f>
        <v>04월 26일</v>
      </c>
      <c r="B27" s="57" t="s">
        <v>42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J27" s="74"/>
      <c r="K27" s="33"/>
      <c r="L27" s="35"/>
      <c r="M27" s="23"/>
    </row>
    <row r="28" spans="1:11">
      <c r="A28" s="10" t="str">
        <f>IF(ROW(A28)-1&gt;DAY(EOMONTH(DATE(VALUE(설정!$B$1),4,1),0)),"",TEXT(DATE(VALUE(설정!$B$1),4,ROW(A28)-1),"mm""월 ""dd""일"""))</f>
        <v>04월 27일</v>
      </c>
      <c r="B28" s="10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J28" s="74"/>
      <c r="K28" s="33"/>
      <c r="L28" s="35"/>
      <c r="M28" s="23"/>
    </row>
    <row r="29" spans="1:11">
      <c r="A29" s="10" t="str">
        <f>IF(ROW(A29)-1&gt;DAY(EOMONTH(DATE(VALUE(설정!$B$1),4,1),0)),"",TEXT(DATE(VALUE(설정!$B$1),4,ROW(A29)-1),"mm""월 ""dd""일"""))</f>
        <v>04월 28일</v>
      </c>
      <c r="B29" s="10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J29" s="6"/>
      <c r="K29" s="33"/>
      <c r="L29" s="35"/>
      <c r="M29" s="23"/>
    </row>
    <row r="30" spans="1:11">
      <c r="A30" s="10" t="str">
        <f>IF(ROW(A30)-1&gt;DAY(EOMONTH(DATE(VALUE(설정!$B$1),4,1),0)),"",TEXT(DATE(VALUE(설정!$B$1),4,ROW(A30)-1),"mm""월 ""dd""일"""))</f>
        <v>04월 29일</v>
      </c>
      <c r="B30" s="10" t="s">
        <v>43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J30" s="6"/>
      <c r="K30" s="33"/>
      <c r="L30" s="35"/>
      <c r="M30" s="23"/>
    </row>
    <row r="31" spans="1:11">
      <c r="A31" s="10" t="str">
        <f>IF(ROW(A31)-1&gt;DAY(EOMONTH(DATE(VALUE(설정!$B$1),4,1),0)),"",TEXT(DATE(VALUE(설정!$B$1),4,ROW(A31)-1),"mm""월 ""dd""일"""))</f>
        <v>04월 30일</v>
      </c>
      <c r="B31" s="10" t="s">
        <v>43</v>
      </c>
      <c r="C31" s="9"/>
      <c r="D31" s="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J31" s="6"/>
      <c r="K31" s="33"/>
      <c r="L31" s="35"/>
      <c r="M31" s="23"/>
    </row>
    <row r="32" spans="1:11">
      <c r="A32" s="6"/>
      <c r="B32" s="55"/>
      <c r="C32" s="5"/>
      <c r="D32" s="11" t="s">
        <v>5</v>
      </c>
      <c r="G32" s="13">
        <f>SUM(F2:F31)</f>
        <v>0</v>
      </c>
      <c r="G32" s="6" t="s">
        <v>7</v>
      </c>
      <c r="H32" s="14">
        <f>MIN(SUM(G2:H31),MAX(0,VALUE(설정!$B$7)))</f>
        <v>0</v>
      </c>
      <c r="L32" s="23"/>
    </row>
    <row r="33" spans="1:11">
      <c r="A33" s="6"/>
      <c r="B33" s="55"/>
      <c r="C33" s="6"/>
      <c r="D33" s="1" t="s">
        <v>6</v>
      </c>
      <c r="F33" s="12">
        <f>MAX(0, ((설정!$B$3*60) - (F32*1440)) / 1440)</f>
        <v>2.0416666666666665</v>
      </c>
      <c r="G33" s="1" t="s">
        <v>6</v>
      </c>
      <c r="H33" s="7">
        <f>MAX(0,MAX(0,VALUE(설정!$B$7))-H32)</f>
        <v>20</v>
      </c>
      <c r="I33" s="6"/>
      <c r="L33" s="23"/>
    </row>
    <row r="34" spans="1:11">
      <c r="D34" s="2" t="s">
        <v>8</v>
      </c>
      <c r="F34" s="12">
        <f>IF(SUM(F2:F31)&gt;(설정!$B$3/24), (SUM(F2:F31)-(설정!$B$3/24)), 0)</f>
        <v>0</v>
      </c>
      <c r="G34" s="2" t="s">
        <v>8</v>
      </c>
      <c r="H34" s="18">
        <f>MAX(0,SUM(G2:H31)-MAX(0,VALUE(설정!$B$7)))</f>
        <v>0</v>
      </c>
    </row>
    <row r="35" spans="1:11">
      <c r="D35" s="1" t="s">
        <v>32</v>
      </c>
      <c r="F35" s="2">
        <f>IF(설정!$B$6&lt;&gt;"아니오",0,COUNTIFS($B$2:$B$31,"휴일",$C$2:$C$31,"&lt;&gt;"))</f>
        <v>0</v>
      </c>
      <c r="H35" s="6">
        <f>SUM(G2:H31)</f>
        <v>0</v>
      </c>
    </row>
    <row r="36" spans="1:11">
      <c r="F36"/>
    </row>
  </sheetData>
  <mergeCells count="1">
    <mergeCell ref="I2:I28"/>
  </mergeCells>
  <phoneticPr fontId="1" type="noConversion"/>
  <conditionalFormatting sqref="A2:A31">
    <cfRule type="expression" dxfId="8" priority="1">
      <formula>AND($A2&lt;&gt;"",$B2="휴일")</formula>
    </cfRule>
  </conditionalFormatting>
  <dataValidations count="1">
    <dataValidation type="list" allowBlank="1" showInputMessage="1" showErrorMessage="1" sqref="B2:B31" xr:uid="{90FD80DB-8132-4331-8C38-2CC3140601E3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M37"/>
  <sheetViews>
    <sheetView workbookViewId="0">
      <selection activeCell="C5" sqref="C5:D5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</row>
    <row r="2" spans="1:12" ht="17.25" thickTop="1">
      <c r="A2" s="10" t="str">
        <f>IF(ROW(A2)-1&gt;DAY(EOMONTH(DATE(VALUE(설정!$B$1),5,1),0)),"",TEXT(DATE(VALUE(설정!$B$1),5,ROW(A2)-1),"mm""월 ""dd""일"""))</f>
        <v>05월 01일</v>
      </c>
      <c r="B2" s="10" t="s">
        <v>43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M2" s="20"/>
    </row>
    <row r="3" spans="1:12">
      <c r="A3" s="10" t="str">
        <f>IF(ROW(A3)-1&gt;DAY(EOMONTH(DATE(VALUE(설정!$B$1),5,1),0)),"",TEXT(DATE(VALUE(설정!$B$1),5,ROW(A3)-1),"mm""월 ""dd""일"""))</f>
        <v>05월 02일</v>
      </c>
      <c r="B3" s="57" t="s">
        <v>42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2" si="0">IF($B3="휴일",0,IF(ISBLANK(D3),0,IF(D3&gt;=TIME(19,1,0),1,0)))</f>
        <v>0</v>
      </c>
      <c r="J3" s="37"/>
      <c r="K3" s="35"/>
      <c r="M3" s="20"/>
    </row>
    <row r="4" spans="1:12">
      <c r="A4" s="10" t="str">
        <f>IF(ROW(A4)-1&gt;DAY(EOMONTH(DATE(VALUE(설정!$B$1),5,1),0)),"",TEXT(DATE(VALUE(설정!$B$1),5,ROW(A4)-1),"mm""월 ""dd""일"""))</f>
        <v>05월 03일</v>
      </c>
      <c r="B4" s="57" t="s">
        <v>42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J4" s="42"/>
      <c r="K4" s="33"/>
      <c r="L4" s="35"/>
      <c r="M4" s="23"/>
    </row>
    <row r="5" spans="1:12">
      <c r="A5" s="10" t="str">
        <f>IF(ROW(A5)-1&gt;DAY(EOMONTH(DATE(VALUE(설정!$B$1),5,1),0)),"",TEXT(DATE(VALUE(설정!$B$1),5,ROW(A5)-1),"mm""월 ""dd""일"""))</f>
        <v>05월 04일</v>
      </c>
      <c r="B5" s="10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J5" s="45"/>
      <c r="K5" s="33"/>
      <c r="L5" s="35"/>
      <c r="M5" s="23"/>
    </row>
    <row r="6" spans="1:12">
      <c r="A6" s="10" t="str">
        <f>IF(ROW(A6)-1&gt;DAY(EOMONTH(DATE(VALUE(설정!$B$1),5,1),0)),"",TEXT(DATE(VALUE(설정!$B$1),5,ROW(A6)-1),"mm""월 ""dd""일"""))</f>
        <v>05월 05일</v>
      </c>
      <c r="B6" s="57" t="s">
        <v>41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J6" s="42" t="s">
        <v>67</v>
      </c>
      <c r="K6" s="33"/>
      <c r="L6" s="35"/>
      <c r="M6" s="23"/>
    </row>
    <row r="7" spans="1:12">
      <c r="A7" s="10" t="str">
        <f>IF(ROW(A7)-1&gt;DAY(EOMONTH(DATE(VALUE(설정!$B$1),5,1),0)),"",TEXT(DATE(VALUE(설정!$B$1),5,ROW(A7)-1),"mm""월 ""dd""일"""))</f>
        <v>05월 06일</v>
      </c>
      <c r="B7" s="10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J7" s="42"/>
      <c r="K7" s="33"/>
      <c r="L7" s="35"/>
      <c r="M7" s="23"/>
    </row>
    <row r="8" spans="1:12">
      <c r="A8" s="10" t="str">
        <f>IF(ROW(A8)-1&gt;DAY(EOMONTH(DATE(VALUE(설정!$B$1),5,1),0)),"",TEXT(DATE(VALUE(설정!$B$1),5,ROW(A8)-1),"mm""월 ""dd""일"""))</f>
        <v>05월 07일</v>
      </c>
      <c r="B8" s="10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J8" s="6"/>
      <c r="K8" s="33"/>
      <c r="L8" s="35"/>
      <c r="M8" s="23"/>
    </row>
    <row r="9" spans="1:12">
      <c r="A9" s="10" t="str">
        <f>IF(ROW(A9)-1&gt;DAY(EOMONTH(DATE(VALUE(설정!$B$1),5,1),0)),"",TEXT(DATE(VALUE(설정!$B$1),5,ROW(A9)-1),"mm""월 ""dd""일"""))</f>
        <v>05월 08일</v>
      </c>
      <c r="B9" s="10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J9" s="6"/>
      <c r="K9" s="33"/>
      <c r="L9" s="35"/>
      <c r="M9" s="23"/>
    </row>
    <row r="10" spans="1:12">
      <c r="A10" s="10" t="str">
        <f>IF(ROW(A10)-1&gt;DAY(EOMONTH(DATE(VALUE(설정!$B$1),5,1),0)),"",TEXT(DATE(VALUE(설정!$B$1),5,ROW(A10)-1),"mm""월 ""dd""일"""))</f>
        <v>05월 09일</v>
      </c>
      <c r="B10" s="57" t="s">
        <v>42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J10" s="6"/>
      <c r="K10" s="33"/>
      <c r="L10" s="35"/>
      <c r="M10" s="23"/>
    </row>
    <row r="11" spans="1:12">
      <c r="A11" s="10" t="str">
        <f>IF(ROW(A11)-1&gt;DAY(EOMONTH(DATE(VALUE(설정!$B$1),5,1),0)),"",TEXT(DATE(VALUE(설정!$B$1),5,ROW(A11)-1),"mm""월 ""dd""일"""))</f>
        <v>05월 10일</v>
      </c>
      <c r="B11" s="57" t="s">
        <v>42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J11" s="6"/>
      <c r="K11" s="33"/>
      <c r="L11" s="35"/>
      <c r="M11" s="23"/>
    </row>
    <row r="12" spans="1:12">
      <c r="A12" s="10" t="str">
        <f>IF(ROW(A12)-1&gt;DAY(EOMONTH(DATE(VALUE(설정!$B$1),5,1),0)),"",TEXT(DATE(VALUE(설정!$B$1),5,ROW(A12)-1),"mm""월 ""dd""일"""))</f>
        <v>05월 11일</v>
      </c>
      <c r="B12" s="10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J12" s="6"/>
      <c r="K12" s="33"/>
      <c r="L12" s="35"/>
      <c r="M12" s="23"/>
    </row>
    <row r="13" spans="1:12">
      <c r="A13" s="10" t="str">
        <f>IF(ROW(A13)-1&gt;DAY(EOMONTH(DATE(VALUE(설정!$B$1),5,1),0)),"",TEXT(DATE(VALUE(설정!$B$1),5,ROW(A13)-1),"mm""월 ""dd""일"""))</f>
        <v>05월 12일</v>
      </c>
      <c r="B13" s="10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J13" s="6"/>
      <c r="K13" s="33"/>
      <c r="L13" s="35"/>
      <c r="M13" s="23"/>
    </row>
    <row r="14" spans="1:12">
      <c r="A14" s="10" t="str">
        <f>IF(ROW(A14)-1&gt;DAY(EOMONTH(DATE(VALUE(설정!$B$1),5,1),0)),"",TEXT(DATE(VALUE(설정!$B$1),5,ROW(A14)-1),"mm""월 ""dd""일"""))</f>
        <v>05월 13일</v>
      </c>
      <c r="B14" s="10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J14" s="6"/>
      <c r="K14" s="33"/>
      <c r="L14" s="35"/>
      <c r="M14" s="23"/>
    </row>
    <row r="15" spans="1:12">
      <c r="A15" s="10" t="str">
        <f>IF(ROW(A15)-1&gt;DAY(EOMONTH(DATE(VALUE(설정!$B$1),5,1),0)),"",TEXT(DATE(VALUE(설정!$B$1),5,ROW(A15)-1),"mm""월 ""dd""일"""))</f>
        <v>05월 14일</v>
      </c>
      <c r="B15" s="10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J15" s="6"/>
      <c r="K15" s="33"/>
      <c r="L15" s="35"/>
      <c r="M15" s="23"/>
    </row>
    <row r="16" spans="1:12">
      <c r="A16" s="10" t="str">
        <f>IF(ROW(A16)-1&gt;DAY(EOMONTH(DATE(VALUE(설정!$B$1),5,1),0)),"",TEXT(DATE(VALUE(설정!$B$1),5,ROW(A16)-1),"mm""월 ""dd""일"""))</f>
        <v>05월 15일</v>
      </c>
      <c r="B16" s="10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J16" s="6"/>
      <c r="K16" s="33"/>
      <c r="L16" s="35"/>
      <c r="M16" s="23"/>
    </row>
    <row r="17" spans="1:11">
      <c r="A17" s="10" t="str">
        <f>IF(ROW(A17)-1&gt;DAY(EOMONTH(DATE(VALUE(설정!$B$1),5,1),0)),"",TEXT(DATE(VALUE(설정!$B$1),5,ROW(A17)-1),"mm""월 ""dd""일"""))</f>
        <v>05월 16일</v>
      </c>
      <c r="B17" s="57" t="s">
        <v>42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J17" s="6"/>
      <c r="K17" s="33"/>
      <c r="L17" s="35"/>
      <c r="M17" s="23"/>
    </row>
    <row r="18" spans="1:11">
      <c r="A18" s="10" t="str">
        <f>IF(ROW(A18)-1&gt;DAY(EOMONTH(DATE(VALUE(설정!$B$1),5,1),0)),"",TEXT(DATE(VALUE(설정!$B$1),5,ROW(A18)-1),"mm""월 ""dd""일"""))</f>
        <v>05월 17일</v>
      </c>
      <c r="B18" s="57" t="s">
        <v>42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J18" s="6"/>
      <c r="K18" s="33"/>
      <c r="L18" s="35"/>
      <c r="M18" s="23"/>
    </row>
    <row r="19" spans="1:11">
      <c r="A19" s="10" t="str">
        <f>IF(ROW(A19)-1&gt;DAY(EOMONTH(DATE(VALUE(설정!$B$1),5,1),0)),"",TEXT(DATE(VALUE(설정!$B$1),5,ROW(A19)-1),"mm""월 ""dd""일"""))</f>
        <v>05월 18일</v>
      </c>
      <c r="B19" s="10" t="s">
        <v>43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J19" s="6"/>
      <c r="K19" s="33"/>
      <c r="L19" s="35"/>
      <c r="M19" s="23"/>
    </row>
    <row r="20" spans="1:11">
      <c r="A20" s="10" t="str">
        <f>IF(ROW(A20)-1&gt;DAY(EOMONTH(DATE(VALUE(설정!$B$1),5,1),0)),"",TEXT(DATE(VALUE(설정!$B$1),5,ROW(A20)-1),"mm""월 ""dd""일"""))</f>
        <v>05월 19일</v>
      </c>
      <c r="B20" s="10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J20" s="6"/>
      <c r="K20" s="33"/>
      <c r="L20" s="35"/>
      <c r="M20" s="23"/>
    </row>
    <row r="21" spans="1:11">
      <c r="A21" s="10" t="str">
        <f>IF(ROW(A21)-1&gt;DAY(EOMONTH(DATE(VALUE(설정!$B$1),5,1),0)),"",TEXT(DATE(VALUE(설정!$B$1),5,ROW(A21)-1),"mm""월 ""dd""일"""))</f>
        <v>05월 20일</v>
      </c>
      <c r="B21" s="10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J21" s="6"/>
      <c r="K21" s="33"/>
      <c r="L21" s="35"/>
      <c r="M21" s="23"/>
    </row>
    <row r="22" spans="1:11">
      <c r="A22" s="10" t="str">
        <f>IF(ROW(A22)-1&gt;DAY(EOMONTH(DATE(VALUE(설정!$B$1),5,1),0)),"",TEXT(DATE(VALUE(설정!$B$1),5,ROW(A22)-1),"mm""월 ""dd""일"""))</f>
        <v>05월 21일</v>
      </c>
      <c r="B22" s="10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J22" s="6"/>
      <c r="K22" s="33"/>
      <c r="L22" s="35"/>
      <c r="M22" s="23"/>
    </row>
    <row r="23" spans="1:11">
      <c r="A23" s="10" t="str">
        <f>IF(ROW(A23)-1&gt;DAY(EOMONTH(DATE(VALUE(설정!$B$1),5,1),0)),"",TEXT(DATE(VALUE(설정!$B$1),5,ROW(A23)-1),"mm""월 ""dd""일"""))</f>
        <v>05월 22일</v>
      </c>
      <c r="B23" s="10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J23" s="6"/>
      <c r="K23" s="33"/>
      <c r="L23" s="35"/>
      <c r="M23" s="23"/>
    </row>
    <row r="24" spans="1:11">
      <c r="A24" s="10" t="str">
        <f>IF(ROW(A24)-1&gt;DAY(EOMONTH(DATE(VALUE(설정!$B$1),5,1),0)),"",TEXT(DATE(VALUE(설정!$B$1),5,ROW(A24)-1),"mm""월 ""dd""일"""))</f>
        <v>05월 23일</v>
      </c>
      <c r="B24" s="57" t="s">
        <v>42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J24" s="6"/>
      <c r="K24" s="33"/>
      <c r="L24" s="35"/>
      <c r="M24" s="23"/>
    </row>
    <row r="25" spans="1:11">
      <c r="A25" s="10" t="str">
        <f>IF(ROW(A25)-1&gt;DAY(EOMONTH(DATE(VALUE(설정!$B$1),5,1),0)),"",TEXT(DATE(VALUE(설정!$B$1),5,ROW(A25)-1),"mm""월 ""dd""일"""))</f>
        <v>05월 24일</v>
      </c>
      <c r="B25" s="57" t="s">
        <v>42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J25" s="6"/>
      <c r="K25" s="33"/>
      <c r="L25" s="35"/>
      <c r="M25" s="23"/>
    </row>
    <row r="26" spans="1:11">
      <c r="A26" s="10" t="str">
        <f>IF(ROW(A26)-1&gt;DAY(EOMONTH(DATE(VALUE(설정!$B$1),5,1),0)),"",TEXT(DATE(VALUE(설정!$B$1),5,ROW(A26)-1),"mm""월 ""dd""일"""))</f>
        <v>05월 25일</v>
      </c>
      <c r="B26" s="57" t="s">
        <v>41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J26" s="6" t="s">
        <v>66</v>
      </c>
      <c r="K26" s="33"/>
      <c r="L26" s="35"/>
      <c r="M26" s="23"/>
    </row>
    <row r="27" spans="1:11">
      <c r="A27" s="10" t="str">
        <f>IF(ROW(A27)-1&gt;DAY(EOMONTH(DATE(VALUE(설정!$B$1),5,1),0)),"",TEXT(DATE(VALUE(설정!$B$1),5,ROW(A27)-1),"mm""월 ""dd""일"""))</f>
        <v>05월 26일</v>
      </c>
      <c r="B27" s="10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J27" s="6"/>
      <c r="K27" s="33"/>
      <c r="L27" s="35"/>
      <c r="M27" s="23"/>
    </row>
    <row r="28" spans="1:11">
      <c r="A28" s="10" t="str">
        <f>IF(ROW(A28)-1&gt;DAY(EOMONTH(DATE(VALUE(설정!$B$1),5,1),0)),"",TEXT(DATE(VALUE(설정!$B$1),5,ROW(A28)-1),"mm""월 ""dd""일"""))</f>
        <v>05월 27일</v>
      </c>
      <c r="B28" s="10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J28" s="6"/>
      <c r="K28" s="33"/>
      <c r="L28" s="35"/>
      <c r="M28" s="23"/>
    </row>
    <row r="29" spans="1:11">
      <c r="A29" s="10" t="str">
        <f>IF(ROW(A29)-1&gt;DAY(EOMONTH(DATE(VALUE(설정!$B$1),5,1),0)),"",TEXT(DATE(VALUE(설정!$B$1),5,ROW(A29)-1),"mm""월 ""dd""일"""))</f>
        <v>05월 28일</v>
      </c>
      <c r="B29" s="10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J29" s="6"/>
      <c r="K29" s="33"/>
      <c r="L29" s="35"/>
      <c r="M29" s="23"/>
    </row>
    <row r="30" spans="1:11">
      <c r="A30" s="10" t="str">
        <f>IF(ROW(A30)-1&gt;DAY(EOMONTH(DATE(VALUE(설정!$B$1),5,1),0)),"",TEXT(DATE(VALUE(설정!$B$1),5,ROW(A30)-1),"mm""월 ""dd""일"""))</f>
        <v>05월 29일</v>
      </c>
      <c r="B30" s="10" t="s">
        <v>43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J30" s="6"/>
      <c r="K30" s="33"/>
      <c r="L30" s="35"/>
      <c r="M30" s="23"/>
    </row>
    <row r="31" spans="1:11">
      <c r="A31" s="10" t="str">
        <f>IF(ROW(A31)-1&gt;DAY(EOMONTH(DATE(VALUE(설정!$B$1),5,1),0)),"",TEXT(DATE(VALUE(설정!$B$1),5,ROW(A31)-1),"mm""월 ""dd""일"""))</f>
        <v>05월 30일</v>
      </c>
      <c r="B31" s="57" t="s">
        <v>42</v>
      </c>
      <c r="C31" s="19"/>
      <c r="D31" s="1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J31" s="6"/>
      <c r="K31" s="33"/>
      <c r="L31" s="35"/>
      <c r="M31" s="23"/>
    </row>
    <row r="32" spans="1:11">
      <c r="A32" s="10" t="str">
        <f>IF(ROW(A32)-1&gt;DAY(EOMONTH(DATE(VALUE(설정!$B$1),5,1),0)),"",TEXT(DATE(VALUE(설정!$B$1),5,ROW(A32)-1),"mm""월 ""dd""일"""))</f>
        <v>05월 31일</v>
      </c>
      <c r="B32" s="57" t="s">
        <v>42</v>
      </c>
      <c r="C32" s="9"/>
      <c r="D32" s="9"/>
      <c r="E32" s="19">
        <f>IF($A32="",0,IF($B32="평일",TIME(1,0,0),0))</f>
        <v/>
      </c>
      <c r="F32" s="19">
        <f>IF(OR($C32="",$D32=""),0,IF(AND($B32="휴일",설정!$B$6="예"),MIN(MAX(0,VALUE(설정!$B$2))/24,MAX(0,(MIN(IF(VALUE(설정!$B$2)=4,IF(AND($D32&gt;TIME(18,0,0),$D32&lt;TIME(19,1,0)),TIME(18,0,0),$D32),$D32),설정!$B$5)-MAX(IF(VALUE(설정!$B$2)=4,IF(AND($C32&gt;=TIME(8,0,0),$C32&lt;TIME(9,0,0)),TIME(9,0,0),$C32),$C32),설정!$B$4))-$E32)),IF($B32="평일",MIN(MAX(0,VALUE(설정!$B$2))/24,MAX(0,(MIN(IF(VALUE(설정!$B$2)=4,IF(AND($D32&gt;TIME(18,0,0),$D32&lt;TIME(19,1,0)),TIME(18,0,0),$D32),$D32),설정!$B$5)-MAX(IF(VALUE(설정!$B$2)=4,IF(AND($C32&gt;=TIME(8,0,0),$C32&lt;TIME(9,0,0)),TIME(9,0,0),$C32),$C32),설정!$B$4))-TIME(9,0,0)-$E32)),0)))</f>
        <v/>
      </c>
      <c r="G32" s="8">
        <f>IF($B32="휴일",IF(설정!$B$6="예",IF(ROUND($F32*86400,0)&gt;=3660,1,0),0),IF(ISBLANK(C32),0,IF(C32&lt;=TIME(7,59,59),1,0)))</f>
        <v>0</v>
      </c>
      <c r="H32" s="8">
        <f t="shared" si="0"/>
        <v>0</v>
      </c>
      <c r="J32" s="6"/>
      <c r="K32" s="33"/>
      <c r="L32" s="35"/>
      <c r="M32" s="23"/>
    </row>
    <row r="33" spans="1:11">
      <c r="A33" s="6"/>
      <c r="B33" s="55"/>
      <c r="C33" s="5"/>
      <c r="D33" s="11" t="s">
        <v>5</v>
      </c>
      <c r="G33" s="13">
        <f>SUM(F2:F32)</f>
        <v>0</v>
      </c>
      <c r="G33" s="6" t="s">
        <v>7</v>
      </c>
      <c r="H33" s="14">
        <f>MIN(SUM(G2:H32),MAX(0,VALUE(설정!$B$7)))</f>
        <v>0</v>
      </c>
      <c r="L33" s="23"/>
    </row>
    <row r="34" spans="1:11">
      <c r="A34" s="6"/>
      <c r="B34" s="55"/>
      <c r="C34" s="6"/>
      <c r="D34" s="1" t="s">
        <v>6</v>
      </c>
      <c r="F34" s="12">
        <f>MAX(0, ((설정!$B$3*60) - (F33*1440)) / 1440)</f>
        <v>2.0416666666666665</v>
      </c>
      <c r="G34" s="1" t="s">
        <v>6</v>
      </c>
      <c r="H34" s="7">
        <f>MAX(0,MAX(0,VALUE(설정!$B$7))-H33)</f>
        <v>20</v>
      </c>
      <c r="I34" s="6"/>
      <c r="L34" s="23"/>
    </row>
    <row r="35" spans="1:11">
      <c r="D35" s="2" t="s">
        <v>8</v>
      </c>
      <c r="F35" s="12">
        <f>IF(SUM(F2:F32)&gt;(설정!$B$3/24), (SUM(F2:F32)-(설정!$B$3/24)), 0)</f>
        <v>0</v>
      </c>
      <c r="G35" s="2" t="s">
        <v>8</v>
      </c>
      <c r="H35" s="18">
        <f>MAX(0,SUM(G2:H32)-MAX(0,VALUE(설정!$B$7)))</f>
        <v>0</v>
      </c>
    </row>
    <row r="36" spans="1:11">
      <c r="D36" s="1" t="s">
        <v>32</v>
      </c>
      <c r="F36" s="2">
        <f>IF(설정!$B$6&lt;&gt;"아니오",0,COUNTIFS($B$2:$B$32,"휴일",$C$2:$C$32,"&lt;&gt;"))</f>
        <v>0</v>
      </c>
      <c r="H36" s="6">
        <f>SUM(G2:H32)</f>
        <v>0</v>
      </c>
    </row>
    <row r="37" spans="1:11">
      <c r="F37"/>
    </row>
  </sheetData>
  <phoneticPr fontId="1" type="noConversion"/>
  <conditionalFormatting sqref="A2:A32">
    <cfRule type="expression" dxfId="7" priority="1">
      <formula>AND($A2&lt;&gt;"",$B2="휴일")</formula>
    </cfRule>
  </conditionalFormatting>
  <dataValidations count="1">
    <dataValidation type="list" allowBlank="1" showInputMessage="1" showErrorMessage="1" sqref="B2:B32" xr:uid="{4FF559EC-1608-4DBC-B8DB-DCFD34277AD0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M36"/>
  <sheetViews>
    <sheetView workbookViewId="0">
      <selection activeCell="N23" sqref="N23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  <c r="L1" s="26" t="s">
        <v>83</v>
      </c>
      <c r="M1" s="15">
        <f>MAX(0,VALUE(설정!$B$8))</f>
        <v>177</v>
      </c>
    </row>
    <row r="2" spans="1:12" ht="17.25" thickTop="1">
      <c r="A2" s="10" t="str">
        <f>IF(ROW(A2)-1&gt;DAY(EOMONTH(DATE(VALUE(설정!$B$1),6,1),0)),"",TEXT(DATE(VALUE(설정!$B$1),6,ROW(A2)-1),"mm""월 ""dd""일"""))</f>
        <v>06월 01일</v>
      </c>
      <c r="B2" s="10" t="s">
        <v>43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L2" s="63" t="s">
        <v>86</v>
      </c>
      <c r="M2" s="70">
        <f>'4월'!$F$32</f>
        <v>0</v>
      </c>
    </row>
    <row r="3" spans="1:12">
      <c r="A3" s="10" t="str">
        <f>IF(ROW(A3)-1&gt;DAY(EOMONTH(DATE(VALUE(설정!$B$1),6,1),0)),"",TEXT(DATE(VALUE(설정!$B$1),6,ROW(A3)-1),"mm""월 ""dd""일"""))</f>
        <v>06월 02일</v>
      </c>
      <c r="B3" s="10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1" si="0">IF($B3="휴일",0,IF(ISBLANK(D3),0,IF(D3&gt;=TIME(19,1,0),1,0)))</f>
        <v>0</v>
      </c>
      <c r="J3" s="37"/>
      <c r="K3" s="35"/>
      <c r="L3" s="63" t="s">
        <v>87</v>
      </c>
      <c r="M3" s="70">
        <f>'5월'!$F$33</f>
        <v>0</v>
      </c>
    </row>
    <row r="4" spans="1:12">
      <c r="A4" s="10" t="str">
        <f>IF(ROW(A4)-1&gt;DAY(EOMONTH(DATE(VALUE(설정!$B$1),6,1),0)),"",TEXT(DATE(VALUE(설정!$B$1),6,ROW(A4)-1),"mm""월 ""dd""일"""))</f>
        <v>06월 03일</v>
      </c>
      <c r="B4" s="10" t="s">
        <v>41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J4" s="6" t="s">
        <v>68</v>
      </c>
      <c r="K4" s="37"/>
      <c r="L4" s="35"/>
      <c r="M4" s="63" t="s">
        <v>88</v>
      </c>
      <c r="N4" s="70">
        <f>'6월'!$F$32</f>
        <v>0</v>
      </c>
    </row>
    <row r="5" spans="1:12">
      <c r="A5" s="10" t="str">
        <f>IF(ROW(A5)-1&gt;DAY(EOMONTH(DATE(VALUE(설정!$B$1),6,1),0)),"",TEXT(DATE(VALUE(설정!$B$1),6,ROW(A5)-1),"mm""월 ""dd""일"""))</f>
        <v>06월 04일</v>
      </c>
      <c r="B5" s="10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J5" s="6"/>
      <c r="K5" s="33"/>
      <c r="L5" s="35"/>
      <c r="M5" s="64" t="s">
        <v>5</v>
      </c>
      <c r="N5" s="65">
        <f>SUM(M2:M4)</f>
        <v>0</v>
      </c>
    </row>
    <row r="6" spans="1:12">
      <c r="A6" s="10" t="str">
        <f>IF(ROW(A6)-1&gt;DAY(EOMONTH(DATE(VALUE(설정!$B$1),6,1),0)),"",TEXT(DATE(VALUE(설정!$B$1),6,ROW(A6)-1),"mm""월 ""dd""일"""))</f>
        <v>06월 05일</v>
      </c>
      <c r="B6" s="10" t="s">
        <v>43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J6" s="6"/>
      <c r="K6" s="33"/>
      <c r="L6" s="35"/>
      <c r="M6" s="66" t="s">
        <v>84</v>
      </c>
      <c r="N6" s="67">
        <f>MAX(0,(MAX(0,VALUE(설정!$B$8))/24)-M5)</f>
        <v>0</v>
      </c>
    </row>
    <row r="7" spans="1:12">
      <c r="A7" s="10" t="str">
        <f>IF(ROW(A7)-1&gt;DAY(EOMONTH(DATE(VALUE(설정!$B$1),6,1),0)),"",TEXT(DATE(VALUE(설정!$B$1),6,ROW(A7)-1),"mm""월 ""dd""일"""))</f>
        <v>06월 06일</v>
      </c>
      <c r="B7" s="57" t="s">
        <v>42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J7" s="6"/>
      <c r="K7" s="33"/>
      <c r="L7" s="35"/>
      <c r="M7" s="68" t="s">
        <v>85</v>
      </c>
      <c r="N7" s="69">
        <f>MAX(0,M5-(MAX(0,VALUE(설정!$B$8))/24))</f>
        <v>0</v>
      </c>
    </row>
    <row r="8" spans="1:12">
      <c r="A8" s="10" t="str">
        <f>IF(ROW(A8)-1&gt;DAY(EOMONTH(DATE(VALUE(설정!$B$1),6,1),0)),"",TEXT(DATE(VALUE(설정!$B$1),6,ROW(A8)-1),"mm""월 ""dd""일"""))</f>
        <v>06월 07일</v>
      </c>
      <c r="B8" s="57" t="s">
        <v>42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J8" s="42"/>
      <c r="K8" s="33"/>
      <c r="L8" s="35"/>
      <c r="M8" s="23" t="s">
        <v>95</v>
      </c>
    </row>
    <row r="9" spans="1:12">
      <c r="A9" s="10" t="str">
        <f>IF(ROW(A9)-1&gt;DAY(EOMONTH(DATE(VALUE(설정!$B$1),6,1),0)),"",TEXT(DATE(VALUE(설정!$B$1),6,ROW(A9)-1),"mm""월 ""dd""일"""))</f>
        <v>06월 08일</v>
      </c>
      <c r="B9" s="10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J9" s="6"/>
      <c r="K9" s="33"/>
      <c r="L9" s="26" t="inlineStr">
        <is>
          <t>분기급량상한</t>
        </is>
      </c>
      <c r="M9" s="15">
        <f>MAX(0,VALUE(설정!$B$9))</f>
        <v/>
      </c>
    </row>
    <row r="10" spans="1:12">
      <c r="A10" s="10" t="str">
        <f>IF(ROW(A10)-1&gt;DAY(EOMONTH(DATE(VALUE(설정!$B$1),6,1),0)),"",TEXT(DATE(VALUE(설정!$B$1),6,ROW(A10)-1),"mm""월 ""dd""일"""))</f>
        <v>06월 09일</v>
      </c>
      <c r="B10" s="10" t="s">
        <v>43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J10" s="6"/>
      <c r="K10" s="33"/>
      <c r="L10" s="26" t="inlineStr">
        <is>
          <t>4월</t>
        </is>
      </c>
      <c r="M10" s="15">
        <f>'4월'!$H$32</f>
        <v/>
      </c>
    </row>
    <row r="11" spans="1:12">
      <c r="A11" s="10" t="str">
        <f>IF(ROW(A11)-1&gt;DAY(EOMONTH(DATE(VALUE(설정!$B$1),6,1),0)),"",TEXT(DATE(VALUE(설정!$B$1),6,ROW(A11)-1),"mm""월 ""dd""일"""))</f>
        <v>06월 10일</v>
      </c>
      <c r="B11" s="10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J11" s="6"/>
      <c r="K11" s="33"/>
      <c r="L11" s="26" t="inlineStr">
        <is>
          <t>5월</t>
        </is>
      </c>
      <c r="M11" s="15">
        <f>'5월'!$H$33</f>
        <v/>
      </c>
    </row>
    <row r="12" spans="1:12">
      <c r="A12" s="10" t="str">
        <f>IF(ROW(A12)-1&gt;DAY(EOMONTH(DATE(VALUE(설정!$B$1),6,1),0)),"",TEXT(DATE(VALUE(설정!$B$1),6,ROW(A12)-1),"mm""월 ""dd""일"""))</f>
        <v>06월 11일</v>
      </c>
      <c r="B12" s="10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J12" s="6"/>
      <c r="K12" s="33"/>
      <c r="L12" s="26" t="inlineStr">
        <is>
          <t>6월</t>
        </is>
      </c>
      <c r="M12" s="15">
        <f>'6월'!$H$32</f>
        <v/>
      </c>
    </row>
    <row r="13" spans="1:12">
      <c r="A13" s="10" t="str">
        <f>IF(ROW(A13)-1&gt;DAY(EOMONTH(DATE(VALUE(설정!$B$1),6,1),0)),"",TEXT(DATE(VALUE(설정!$B$1),6,ROW(A13)-1),"mm""월 ""dd""일"""))</f>
        <v>06월 12일</v>
      </c>
      <c r="B13" s="10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J13" s="6"/>
      <c r="K13" s="33"/>
      <c r="L13" s="26" t="inlineStr">
        <is>
          <t>분기급량합계</t>
        </is>
      </c>
      <c r="M13" s="15">
        <f>SUM(M10:M12)</f>
        <v/>
      </c>
    </row>
    <row r="14" spans="1:12">
      <c r="A14" s="10" t="str">
        <f>IF(ROW(A14)-1&gt;DAY(EOMONTH(DATE(VALUE(설정!$B$1),6,1),0)),"",TEXT(DATE(VALUE(설정!$B$1),6,ROW(A14)-1),"mm""월 ""dd""일"""))</f>
        <v>06월 13일</v>
      </c>
      <c r="B14" s="57" t="s">
        <v>42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J14" s="6"/>
      <c r="K14" s="33"/>
      <c r="L14" s="26" t="inlineStr">
        <is>
          <t>분기급량미달</t>
        </is>
      </c>
      <c r="M14" s="15">
        <f>MAX(0,M9-M13)</f>
        <v/>
      </c>
    </row>
    <row r="15" spans="1:12">
      <c r="A15" s="10" t="str">
        <f>IF(ROW(A15)-1&gt;DAY(EOMONTH(DATE(VALUE(설정!$B$1),6,1),0)),"",TEXT(DATE(VALUE(설정!$B$1),6,ROW(A15)-1),"mm""월 ""dd""일"""))</f>
        <v>06월 14일</v>
      </c>
      <c r="B15" s="57" t="s">
        <v>42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J15" s="42"/>
      <c r="K15" s="33"/>
      <c r="L15" s="26" t="inlineStr">
        <is>
          <t>분기급량초과</t>
        </is>
      </c>
      <c r="M15" s="15">
        <f>MAX(0,M13-M9)</f>
        <v/>
      </c>
    </row>
    <row r="16" spans="1:12">
      <c r="A16" s="10" t="str">
        <f>IF(ROW(A16)-1&gt;DAY(EOMONTH(DATE(VALUE(설정!$B$1),6,1),0)),"",TEXT(DATE(VALUE(설정!$B$1),6,ROW(A16)-1),"mm""월 ""dd""일"""))</f>
        <v>06월 15일</v>
      </c>
      <c r="B16" s="10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K16" s="33"/>
      <c r="L16" s="35"/>
      <c r="M16" s="23"/>
    </row>
    <row r="17" spans="1:11">
      <c r="A17" s="10" t="str">
        <f>IF(ROW(A17)-1&gt;DAY(EOMONTH(DATE(VALUE(설정!$B$1),6,1),0)),"",TEXT(DATE(VALUE(설정!$B$1),6,ROW(A17)-1),"mm""월 ""dd""일"""))</f>
        <v>06월 16일</v>
      </c>
      <c r="B17" s="10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J17" s="6"/>
      <c r="K17" s="33"/>
      <c r="L17" s="35"/>
      <c r="M17" s="23"/>
    </row>
    <row r="18" spans="1:11">
      <c r="A18" s="10" t="str">
        <f>IF(ROW(A18)-1&gt;DAY(EOMONTH(DATE(VALUE(설정!$B$1),6,1),0)),"",TEXT(DATE(VALUE(설정!$B$1),6,ROW(A18)-1),"mm""월 ""dd""일"""))</f>
        <v>06월 17일</v>
      </c>
      <c r="B18" s="10" t="s">
        <v>43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J18" s="6"/>
      <c r="K18" s="33"/>
      <c r="L18" s="35"/>
      <c r="M18" s="23"/>
    </row>
    <row r="19" spans="1:11">
      <c r="A19" s="10" t="str">
        <f>IF(ROW(A19)-1&gt;DAY(EOMONTH(DATE(VALUE(설정!$B$1),6,1),0)),"",TEXT(DATE(VALUE(설정!$B$1),6,ROW(A19)-1),"mm""월 ""dd""일"""))</f>
        <v>06월 18일</v>
      </c>
      <c r="B19" s="10" t="s">
        <v>43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K19" s="33"/>
      <c r="L19" s="35"/>
      <c r="M19" s="23"/>
    </row>
    <row r="20" spans="1:11">
      <c r="A20" s="10" t="str">
        <f>IF(ROW(A20)-1&gt;DAY(EOMONTH(DATE(VALUE(설정!$B$1),6,1),0)),"",TEXT(DATE(VALUE(설정!$B$1),6,ROW(A20)-1),"mm""월 ""dd""일"""))</f>
        <v>06월 19일</v>
      </c>
      <c r="B20" s="10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J20" s="6"/>
      <c r="K20" s="33"/>
      <c r="L20" s="35"/>
      <c r="M20" s="23"/>
    </row>
    <row r="21" spans="1:11">
      <c r="A21" s="10" t="str">
        <f>IF(ROW(A21)-1&gt;DAY(EOMONTH(DATE(VALUE(설정!$B$1),6,1),0)),"",TEXT(DATE(VALUE(설정!$B$1),6,ROW(A21)-1),"mm""월 ""dd""일"""))</f>
        <v>06월 20일</v>
      </c>
      <c r="B21" s="57" t="s">
        <v>42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J21" s="6"/>
      <c r="K21" s="33"/>
      <c r="L21" s="35"/>
      <c r="M21" s="23"/>
    </row>
    <row r="22" spans="1:11">
      <c r="A22" s="10" t="str">
        <f>IF(ROW(A22)-1&gt;DAY(EOMONTH(DATE(VALUE(설정!$B$1),6,1),0)),"",TEXT(DATE(VALUE(설정!$B$1),6,ROW(A22)-1),"mm""월 ""dd""일"""))</f>
        <v>06월 21일</v>
      </c>
      <c r="B22" s="57" t="s">
        <v>42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J22" s="42"/>
      <c r="K22" s="33"/>
      <c r="L22" s="35"/>
      <c r="M22" s="23"/>
    </row>
    <row r="23" spans="1:11">
      <c r="A23" s="10" t="str">
        <f>IF(ROW(A23)-1&gt;DAY(EOMONTH(DATE(VALUE(설정!$B$1),6,1),0)),"",TEXT(DATE(VALUE(설정!$B$1),6,ROW(A23)-1),"mm""월 ""dd""일"""))</f>
        <v>06월 22일</v>
      </c>
      <c r="B23" s="10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J23" s="6"/>
      <c r="K23" s="33"/>
      <c r="L23" s="35"/>
      <c r="M23" s="23"/>
    </row>
    <row r="24" spans="1:11">
      <c r="A24" s="10" t="str">
        <f>IF(ROW(A24)-1&gt;DAY(EOMONTH(DATE(VALUE(설정!$B$1),6,1),0)),"",TEXT(DATE(VALUE(설정!$B$1),6,ROW(A24)-1),"mm""월 ""dd""일"""))</f>
        <v>06월 23일</v>
      </c>
      <c r="B24" s="10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J24" s="6"/>
      <c r="K24" s="33"/>
      <c r="L24" s="35"/>
      <c r="M24" s="23"/>
    </row>
    <row r="25" spans="1:11">
      <c r="A25" s="10" t="str">
        <f>IF(ROW(A25)-1&gt;DAY(EOMONTH(DATE(VALUE(설정!$B$1),6,1),0)),"",TEXT(DATE(VALUE(설정!$B$1),6,ROW(A25)-1),"mm""월 ""dd""일"""))</f>
        <v>06월 24일</v>
      </c>
      <c r="B25" s="10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J25" s="6"/>
      <c r="K25" s="33"/>
      <c r="L25" s="35"/>
      <c r="M25" s="23"/>
    </row>
    <row r="26" spans="1:11">
      <c r="A26" s="10" t="str">
        <f>IF(ROW(A26)-1&gt;DAY(EOMONTH(DATE(VALUE(설정!$B$1),6,1),0)),"",TEXT(DATE(VALUE(설정!$B$1),6,ROW(A26)-1),"mm""월 ""dd""일"""))</f>
        <v>06월 25일</v>
      </c>
      <c r="B26" s="10" t="s">
        <v>43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J26" s="6"/>
      <c r="K26" s="33"/>
      <c r="L26" s="35"/>
      <c r="M26" s="23"/>
    </row>
    <row r="27" spans="1:11">
      <c r="A27" s="10" t="str">
        <f>IF(ROW(A27)-1&gt;DAY(EOMONTH(DATE(VALUE(설정!$B$1),6,1),0)),"",TEXT(DATE(VALUE(설정!$B$1),6,ROW(A27)-1),"mm""월 ""dd""일"""))</f>
        <v>06월 26일</v>
      </c>
      <c r="B27" s="10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J27" s="6"/>
      <c r="K27" s="33"/>
      <c r="L27" s="35"/>
      <c r="M27" s="23"/>
    </row>
    <row r="28" spans="1:11">
      <c r="A28" s="10" t="str">
        <f>IF(ROW(A28)-1&gt;DAY(EOMONTH(DATE(VALUE(설정!$B$1),6,1),0)),"",TEXT(DATE(VALUE(설정!$B$1),6,ROW(A28)-1),"mm""월 ""dd""일"""))</f>
        <v>06월 27일</v>
      </c>
      <c r="B28" s="57" t="s">
        <v>42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J28" s="6"/>
      <c r="K28" s="33"/>
      <c r="L28" s="35"/>
      <c r="M28" s="23"/>
    </row>
    <row r="29" spans="1:11">
      <c r="A29" s="10" t="str">
        <f>IF(ROW(A29)-1&gt;DAY(EOMONTH(DATE(VALUE(설정!$B$1),6,1),0)),"",TEXT(DATE(VALUE(설정!$B$1),6,ROW(A29)-1),"mm""월 ""dd""일"""))</f>
        <v>06월 28일</v>
      </c>
      <c r="B29" s="57" t="s">
        <v>42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J29" s="6"/>
      <c r="K29" s="33"/>
      <c r="L29" s="35"/>
      <c r="M29" s="23"/>
    </row>
    <row r="30" spans="1:11">
      <c r="A30" s="10" t="str">
        <f>IF(ROW(A30)-1&gt;DAY(EOMONTH(DATE(VALUE(설정!$B$1),6,1),0)),"",TEXT(DATE(VALUE(설정!$B$1),6,ROW(A30)-1),"mm""월 ""dd""일"""))</f>
        <v>06월 29일</v>
      </c>
      <c r="B30" s="10" t="s">
        <v>43</v>
      </c>
      <c r="C30" s="9"/>
      <c r="D30" s="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J30" s="42"/>
      <c r="K30" s="33"/>
      <c r="L30" s="35"/>
      <c r="M30" s="23"/>
    </row>
    <row r="31" spans="1:11">
      <c r="A31" s="10" t="str">
        <f>IF(ROW(A31)-1&gt;DAY(EOMONTH(DATE(VALUE(설정!$B$1),6,1),0)),"",TEXT(DATE(VALUE(설정!$B$1),6,ROW(A31)-1),"mm""월 ""dd""일"""))</f>
        <v>06월 30일</v>
      </c>
      <c r="B31" s="10" t="s">
        <v>43</v>
      </c>
      <c r="C31" s="19"/>
      <c r="D31" s="1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J31" s="6"/>
      <c r="K31" s="33"/>
      <c r="L31" s="35"/>
      <c r="M31" s="23"/>
    </row>
    <row r="32" spans="1:11">
      <c r="A32" s="6"/>
      <c r="B32" s="55"/>
      <c r="C32" s="5"/>
      <c r="D32" s="11" t="s">
        <v>5</v>
      </c>
      <c r="G32" s="13">
        <f>SUM(F2:F31)</f>
        <v>0</v>
      </c>
      <c r="G32" s="6" t="s">
        <v>7</v>
      </c>
      <c r="H32" s="14">
        <f>MIN(SUM(G2:H31),MAX(0,VALUE(설정!$B$7)))</f>
        <v>0</v>
      </c>
      <c r="L32" s="23"/>
    </row>
    <row r="33" spans="1:11">
      <c r="A33" s="6"/>
      <c r="B33" s="55"/>
      <c r="C33" s="6"/>
      <c r="D33" s="1" t="s">
        <v>6</v>
      </c>
      <c r="F33" s="12">
        <f>MAX(0, ((설정!$B$3*60) - (F32*1440)) / 1440)</f>
        <v>2.0416666666666665</v>
      </c>
      <c r="G33" s="1" t="s">
        <v>6</v>
      </c>
      <c r="H33" s="7">
        <f>MAX(0,MAX(0,VALUE(설정!$B$7))-H32)</f>
        <v>20</v>
      </c>
      <c r="I33" s="6"/>
      <c r="L33" s="23"/>
    </row>
    <row r="34" spans="1:11">
      <c r="D34" s="2" t="s">
        <v>8</v>
      </c>
      <c r="F34" s="12">
        <f>IF(SUM(F2:F31)&gt;(설정!$B$3/24), (SUM(F2:F31)-(설정!$B$3/24)), 0)</f>
        <v>0</v>
      </c>
      <c r="G34" s="2" t="s">
        <v>8</v>
      </c>
      <c r="H34" s="18">
        <f>MAX(0,SUM(G2:H31)-MAX(0,VALUE(설정!$B$7)))</f>
        <v>0</v>
      </c>
    </row>
    <row r="35" spans="1:11">
      <c r="D35" s="1" t="s">
        <v>32</v>
      </c>
      <c r="F35" s="2">
        <f>IF(설정!$B$6&lt;&gt;"아니오",0,COUNTIFS($B$2:$B$31,"휴일",$C$2:$C$31,"&lt;&gt;"))</f>
        <v>0</v>
      </c>
      <c r="H35" s="6">
        <f>SUM(G2:H31)</f>
        <v>0</v>
      </c>
    </row>
    <row r="36" spans="1:11">
      <c r="F36"/>
    </row>
  </sheetData>
  <phoneticPr fontId="1" type="noConversion"/>
  <conditionalFormatting sqref="A2:A31">
    <cfRule type="expression" dxfId="6" priority="1">
      <formula>AND($A2&lt;&gt;"",$B2="휴일")</formula>
    </cfRule>
  </conditionalFormatting>
  <dataValidations count="1">
    <dataValidation type="list" allowBlank="1" showInputMessage="1" showErrorMessage="1" sqref="B2:B31" xr:uid="{9049909C-EFD1-4ACE-97A6-54B5EC885EBE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N37"/>
  <sheetViews>
    <sheetView workbookViewId="0">
      <selection activeCell="B18" sqref="B18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3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</row>
    <row r="2" spans="1:13" ht="17.25" thickTop="1">
      <c r="A2" s="10" t="str">
        <f>IF(ROW(A2)-1&gt;DAY(EOMONTH(DATE(VALUE(설정!$B$1),7,1),0)),"",TEXT(DATE(VALUE(설정!$B$1),7,ROW(A2)-1),"mm""월 ""dd""일"""))</f>
        <v>07월 01일</v>
      </c>
      <c r="B2" s="10" t="s">
        <v>43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M2" s="20"/>
    </row>
    <row r="3" spans="1:13">
      <c r="A3" s="10" t="str">
        <f>IF(ROW(A3)-1&gt;DAY(EOMONTH(DATE(VALUE(설정!$B$1),7,1),0)),"",TEXT(DATE(VALUE(설정!$B$1),7,ROW(A3)-1),"mm""월 ""dd""일"""))</f>
        <v>07월 02일</v>
      </c>
      <c r="B3" s="10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2" si="0">IF($B3="휴일",0,IF(ISBLANK(D3),0,IF(D3&gt;=TIME(19,1,0),1,0)))</f>
        <v>0</v>
      </c>
      <c r="J3" s="37"/>
      <c r="K3" s="35"/>
      <c r="M3" s="20"/>
    </row>
    <row r="4" spans="1:13">
      <c r="A4" s="10" t="str">
        <f>IF(ROW(A4)-1&gt;DAY(EOMONTH(DATE(VALUE(설정!$B$1),7,1),0)),"",TEXT(DATE(VALUE(설정!$B$1),7,ROW(A4)-1),"mm""월 ""dd""일"""))</f>
        <v>07월 03일</v>
      </c>
      <c r="B4" s="10" t="s">
        <v>43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J4" s="6"/>
      <c r="K4" s="33"/>
      <c r="L4" s="35"/>
      <c r="M4" s="23"/>
    </row>
    <row r="5" spans="1:13">
      <c r="A5" s="10" t="str">
        <f>IF(ROW(A5)-1&gt;DAY(EOMONTH(DATE(VALUE(설정!$B$1),7,1),0)),"",TEXT(DATE(VALUE(설정!$B$1),7,ROW(A5)-1),"mm""월 ""dd""일"""))</f>
        <v>07월 04일</v>
      </c>
      <c r="B5" s="57" t="s">
        <v>42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J5" s="6"/>
      <c r="K5" s="33"/>
      <c r="L5" s="35"/>
      <c r="M5" s="23"/>
    </row>
    <row r="6" spans="1:13">
      <c r="A6" s="10" t="str">
        <f>IF(ROW(A6)-1&gt;DAY(EOMONTH(DATE(VALUE(설정!$B$1),7,1),0)),"",TEXT(DATE(VALUE(설정!$B$1),7,ROW(A6)-1),"mm""월 ""dd""일"""))</f>
        <v>07월 05일</v>
      </c>
      <c r="B6" s="57" t="s">
        <v>42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J6" s="6"/>
      <c r="K6" s="33"/>
      <c r="L6" s="35"/>
      <c r="M6" s="23"/>
    </row>
    <row r="7" spans="1:13">
      <c r="A7" s="10" t="str">
        <f>IF(ROW(A7)-1&gt;DAY(EOMONTH(DATE(VALUE(설정!$B$1),7,1),0)),"",TEXT(DATE(VALUE(설정!$B$1),7,ROW(A7)-1),"mm""월 ""dd""일"""))</f>
        <v>07월 06일</v>
      </c>
      <c r="B7" s="10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J7" s="43"/>
      <c r="K7" s="33"/>
      <c r="L7" s="35"/>
      <c r="M7" s="23"/>
    </row>
    <row r="8" spans="1:13">
      <c r="A8" s="10" t="str">
        <f>IF(ROW(A8)-1&gt;DAY(EOMONTH(DATE(VALUE(설정!$B$1),7,1),0)),"",TEXT(DATE(VALUE(설정!$B$1),7,ROW(A8)-1),"mm""월 ""dd""일"""))</f>
        <v>07월 07일</v>
      </c>
      <c r="B8" s="10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J8" s="6"/>
      <c r="K8" s="33"/>
      <c r="L8" s="35"/>
      <c r="M8" s="23"/>
    </row>
    <row r="9" spans="1:13">
      <c r="A9" s="10" t="str">
        <f>IF(ROW(A9)-1&gt;DAY(EOMONTH(DATE(VALUE(설정!$B$1),7,1),0)),"",TEXT(DATE(VALUE(설정!$B$1),7,ROW(A9)-1),"mm""월 ""dd""일"""))</f>
        <v>07월 08일</v>
      </c>
      <c r="B9" s="10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J9" s="6"/>
      <c r="K9" s="33"/>
      <c r="L9" s="35"/>
      <c r="M9" s="23"/>
    </row>
    <row r="10" spans="1:13">
      <c r="A10" s="10" t="str">
        <f>IF(ROW(A10)-1&gt;DAY(EOMONTH(DATE(VALUE(설정!$B$1),7,1),0)),"",TEXT(DATE(VALUE(설정!$B$1),7,ROW(A10)-1),"mm""월 ""dd""일"""))</f>
        <v>07월 09일</v>
      </c>
      <c r="B10" s="10" t="s">
        <v>43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J10" s="6"/>
      <c r="K10" s="33"/>
      <c r="L10" s="35"/>
      <c r="M10" s="23"/>
    </row>
    <row r="11" spans="1:13">
      <c r="A11" s="10" t="str">
        <f>IF(ROW(A11)-1&gt;DAY(EOMONTH(DATE(VALUE(설정!$B$1),7,1),0)),"",TEXT(DATE(VALUE(설정!$B$1),7,ROW(A11)-1),"mm""월 ""dd""일"""))</f>
        <v>07월 10일</v>
      </c>
      <c r="B11" s="10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J11" s="6"/>
      <c r="K11" s="33"/>
      <c r="L11" s="35"/>
      <c r="M11" s="23"/>
      <c r="O11" s="44"/>
    </row>
    <row r="12" spans="1:13">
      <c r="A12" s="10" t="str">
        <f>IF(ROW(A12)-1&gt;DAY(EOMONTH(DATE(VALUE(설정!$B$1),7,1),0)),"",TEXT(DATE(VALUE(설정!$B$1),7,ROW(A12)-1),"mm""월 ""dd""일"""))</f>
        <v>07월 11일</v>
      </c>
      <c r="B12" s="57" t="s">
        <v>42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J12" s="6"/>
      <c r="K12" s="33"/>
      <c r="L12" s="35"/>
      <c r="M12" s="23"/>
    </row>
    <row r="13" spans="1:13">
      <c r="A13" s="10" t="str">
        <f>IF(ROW(A13)-1&gt;DAY(EOMONTH(DATE(VALUE(설정!$B$1),7,1),0)),"",TEXT(DATE(VALUE(설정!$B$1),7,ROW(A13)-1),"mm""월 ""dd""일"""))</f>
        <v>07월 12일</v>
      </c>
      <c r="B13" s="57" t="s">
        <v>42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J13" s="6"/>
      <c r="K13" s="33"/>
      <c r="L13" s="35"/>
      <c r="M13" s="23"/>
    </row>
    <row r="14" spans="1:13">
      <c r="A14" s="10" t="str">
        <f>IF(ROW(A14)-1&gt;DAY(EOMONTH(DATE(VALUE(설정!$B$1),7,1),0)),"",TEXT(DATE(VALUE(설정!$B$1),7,ROW(A14)-1),"mm""월 ""dd""일"""))</f>
        <v>07월 13일</v>
      </c>
      <c r="B14" s="10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J14" s="6"/>
      <c r="K14" s="33"/>
      <c r="L14" s="35"/>
      <c r="M14" s="23"/>
    </row>
    <row r="15" spans="1:13">
      <c r="A15" s="10" t="str">
        <f>IF(ROW(A15)-1&gt;DAY(EOMONTH(DATE(VALUE(설정!$B$1),7,1),0)),"",TEXT(DATE(VALUE(설정!$B$1),7,ROW(A15)-1),"mm""월 ""dd""일"""))</f>
        <v>07월 14일</v>
      </c>
      <c r="B15" s="10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J15" s="6"/>
      <c r="K15" s="33"/>
      <c r="L15" s="35"/>
      <c r="M15" s="23"/>
    </row>
    <row r="16" spans="1:13">
      <c r="A16" s="10" t="str">
        <f>IF(ROW(A16)-1&gt;DAY(EOMONTH(DATE(VALUE(설정!$B$1),7,1),0)),"",TEXT(DATE(VALUE(설정!$B$1),7,ROW(A16)-1),"mm""월 ""dd""일"""))</f>
        <v>07월 15일</v>
      </c>
      <c r="B16" s="10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J16" s="6"/>
      <c r="K16" s="33"/>
      <c r="L16" s="35"/>
      <c r="M16" s="23"/>
    </row>
    <row r="17" spans="1:11">
      <c r="A17" s="10" t="str">
        <f>IF(ROW(A17)-1&gt;DAY(EOMONTH(DATE(VALUE(설정!$B$1),7,1),0)),"",TEXT(DATE(VALUE(설정!$B$1),7,ROW(A17)-1),"mm""월 ""dd""일"""))</f>
        <v>07월 16일</v>
      </c>
      <c r="B17" s="10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J17" s="6"/>
      <c r="K17" s="33"/>
      <c r="L17" s="35"/>
      <c r="M17" s="23"/>
    </row>
    <row r="18" spans="1:11">
      <c r="A18" s="10" t="str">
        <f>IF(ROW(A18)-1&gt;DAY(EOMONTH(DATE(VALUE(설정!$B$1),7,1),0)),"",TEXT(DATE(VALUE(설정!$B$1),7,ROW(A18)-1),"mm""월 ""dd""일"""))</f>
        <v>07월 17일</v>
      </c>
      <c r="B18" s="10" t="s">
        <v>41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J18" s="6"/>
      <c r="K18" s="33"/>
      <c r="L18" s="35"/>
      <c r="M18" s="23"/>
    </row>
    <row r="19" spans="1:11">
      <c r="A19" s="10" t="str">
        <f>IF(ROW(A19)-1&gt;DAY(EOMONTH(DATE(VALUE(설정!$B$1),7,1),0)),"",TEXT(DATE(VALUE(설정!$B$1),7,ROW(A19)-1),"mm""월 ""dd""일"""))</f>
        <v>07월 18일</v>
      </c>
      <c r="B19" s="57" t="s">
        <v>42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J19" s="6"/>
      <c r="K19" s="33"/>
      <c r="L19" s="35"/>
      <c r="M19" s="23"/>
    </row>
    <row r="20" spans="1:11">
      <c r="A20" s="10" t="str">
        <f>IF(ROW(A20)-1&gt;DAY(EOMONTH(DATE(VALUE(설정!$B$1),7,1),0)),"",TEXT(DATE(VALUE(설정!$B$1),7,ROW(A20)-1),"mm""월 ""dd""일"""))</f>
        <v>07월 19일</v>
      </c>
      <c r="B20" s="57" t="s">
        <v>42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J20" s="6"/>
      <c r="K20" s="33"/>
      <c r="L20" s="35"/>
      <c r="M20" s="23"/>
    </row>
    <row r="21" spans="1:11">
      <c r="A21" s="10" t="str">
        <f>IF(ROW(A21)-1&gt;DAY(EOMONTH(DATE(VALUE(설정!$B$1),7,1),0)),"",TEXT(DATE(VALUE(설정!$B$1),7,ROW(A21)-1),"mm""월 ""dd""일"""))</f>
        <v>07월 20일</v>
      </c>
      <c r="B21" s="10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J21" s="6"/>
      <c r="K21" s="33"/>
      <c r="L21" s="35"/>
      <c r="M21" s="23"/>
    </row>
    <row r="22" spans="1:11">
      <c r="A22" s="10" t="str">
        <f>IF(ROW(A22)-1&gt;DAY(EOMONTH(DATE(VALUE(설정!$B$1),7,1),0)),"",TEXT(DATE(VALUE(설정!$B$1),7,ROW(A22)-1),"mm""월 ""dd""일"""))</f>
        <v>07월 21일</v>
      </c>
      <c r="B22" s="10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J22" s="6"/>
      <c r="K22" s="33"/>
      <c r="L22" s="35"/>
      <c r="M22" s="23"/>
    </row>
    <row r="23" spans="1:11">
      <c r="A23" s="10" t="str">
        <f>IF(ROW(A23)-1&gt;DAY(EOMONTH(DATE(VALUE(설정!$B$1),7,1),0)),"",TEXT(DATE(VALUE(설정!$B$1),7,ROW(A23)-1),"mm""월 ""dd""일"""))</f>
        <v>07월 22일</v>
      </c>
      <c r="B23" s="10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J23" s="6"/>
      <c r="K23" s="33"/>
      <c r="L23" s="35"/>
      <c r="M23" s="23"/>
    </row>
    <row r="24" spans="1:11">
      <c r="A24" s="10" t="str">
        <f>IF(ROW(A24)-1&gt;DAY(EOMONTH(DATE(VALUE(설정!$B$1),7,1),0)),"",TEXT(DATE(VALUE(설정!$B$1),7,ROW(A24)-1),"mm""월 ""dd""일"""))</f>
        <v>07월 23일</v>
      </c>
      <c r="B24" s="10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J24" s="6"/>
      <c r="K24" s="33"/>
      <c r="L24" s="35"/>
      <c r="M24" s="23"/>
    </row>
    <row r="25" spans="1:11">
      <c r="A25" s="10" t="str">
        <f>IF(ROW(A25)-1&gt;DAY(EOMONTH(DATE(VALUE(설정!$B$1),7,1),0)),"",TEXT(DATE(VALUE(설정!$B$1),7,ROW(A25)-1),"mm""월 ""dd""일"""))</f>
        <v>07월 24일</v>
      </c>
      <c r="B25" s="10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J25" s="6"/>
      <c r="K25" s="33"/>
      <c r="L25" s="35"/>
      <c r="M25" s="23"/>
    </row>
    <row r="26" spans="1:11">
      <c r="A26" s="10" t="str">
        <f>IF(ROW(A26)-1&gt;DAY(EOMONTH(DATE(VALUE(설정!$B$1),7,1),0)),"",TEXT(DATE(VALUE(설정!$B$1),7,ROW(A26)-1),"mm""월 ""dd""일"""))</f>
        <v>07월 25일</v>
      </c>
      <c r="B26" s="57" t="s">
        <v>42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J26" s="6"/>
      <c r="K26" s="33"/>
      <c r="L26" s="35"/>
      <c r="M26" s="23"/>
    </row>
    <row r="27" spans="1:11">
      <c r="A27" s="10" t="str">
        <f>IF(ROW(A27)-1&gt;DAY(EOMONTH(DATE(VALUE(설정!$B$1),7,1),0)),"",TEXT(DATE(VALUE(설정!$B$1),7,ROW(A27)-1),"mm""월 ""dd""일"""))</f>
        <v>07월 26일</v>
      </c>
      <c r="B27" s="57" t="s">
        <v>42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J27" s="43"/>
      <c r="K27" s="33"/>
      <c r="L27" s="35"/>
      <c r="M27" s="23"/>
    </row>
    <row r="28" spans="1:11">
      <c r="A28" s="10" t="str">
        <f>IF(ROW(A28)-1&gt;DAY(EOMONTH(DATE(VALUE(설정!$B$1),7,1),0)),"",TEXT(DATE(VALUE(설정!$B$1),7,ROW(A28)-1),"mm""월 ""dd""일"""))</f>
        <v>07월 27일</v>
      </c>
      <c r="B28" s="10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J28" s="43"/>
      <c r="K28" s="33"/>
      <c r="L28" s="35"/>
      <c r="M28" s="23"/>
    </row>
    <row r="29" spans="1:11">
      <c r="A29" s="10" t="str">
        <f>IF(ROW(A29)-1&gt;DAY(EOMONTH(DATE(VALUE(설정!$B$1),7,1),0)),"",TEXT(DATE(VALUE(설정!$B$1),7,ROW(A29)-1),"mm""월 ""dd""일"""))</f>
        <v>07월 28일</v>
      </c>
      <c r="B29" s="10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J29" s="6"/>
      <c r="K29" s="33"/>
      <c r="L29" s="35"/>
      <c r="M29" s="23"/>
    </row>
    <row r="30" spans="1:11">
      <c r="A30" s="10" t="str">
        <f>IF(ROW(A30)-1&gt;DAY(EOMONTH(DATE(VALUE(설정!$B$1),7,1),0)),"",TEXT(DATE(VALUE(설정!$B$1),7,ROW(A30)-1),"mm""월 ""dd""일"""))</f>
        <v>07월 29일</v>
      </c>
      <c r="B30" s="10" t="s">
        <v>43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J30" s="6"/>
      <c r="K30" s="33"/>
      <c r="L30" s="35"/>
      <c r="M30" s="23"/>
    </row>
    <row r="31" spans="1:11">
      <c r="A31" s="10" t="str">
        <f>IF(ROW(A31)-1&gt;DAY(EOMONTH(DATE(VALUE(설정!$B$1),7,1),0)),"",TEXT(DATE(VALUE(설정!$B$1),7,ROW(A31)-1),"mm""월 ""dd""일"""))</f>
        <v>07월 30일</v>
      </c>
      <c r="B31" s="10" t="s">
        <v>43</v>
      </c>
      <c r="C31" s="19"/>
      <c r="D31" s="1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J31" s="6"/>
      <c r="K31" s="33"/>
      <c r="L31" s="35"/>
      <c r="M31" s="23"/>
    </row>
    <row r="32" spans="1:11">
      <c r="A32" s="10" t="str">
        <f>IF(ROW(A32)-1&gt;DAY(EOMONTH(DATE(VALUE(설정!$B$1),7,1),0)),"",TEXT(DATE(VALUE(설정!$B$1),7,ROW(A32)-1),"mm""월 ""dd""일"""))</f>
        <v>07월 31일</v>
      </c>
      <c r="B32" s="10" t="s">
        <v>43</v>
      </c>
      <c r="C32" s="19"/>
      <c r="D32" s="19"/>
      <c r="E32" s="19">
        <f>IF($A32="",0,IF($B32="평일",TIME(1,0,0),0))</f>
        <v/>
      </c>
      <c r="F32" s="19">
        <f>IF(OR($C32="",$D32=""),0,IF(AND($B32="휴일",설정!$B$6="예"),MIN(MAX(0,VALUE(설정!$B$2))/24,MAX(0,(MIN(IF(VALUE(설정!$B$2)=4,IF(AND($D32&gt;TIME(18,0,0),$D32&lt;TIME(19,1,0)),TIME(18,0,0),$D32),$D32),설정!$B$5)-MAX(IF(VALUE(설정!$B$2)=4,IF(AND($C32&gt;=TIME(8,0,0),$C32&lt;TIME(9,0,0)),TIME(9,0,0),$C32),$C32),설정!$B$4))-$E32)),IF($B32="평일",MIN(MAX(0,VALUE(설정!$B$2))/24,MAX(0,(MIN(IF(VALUE(설정!$B$2)=4,IF(AND($D32&gt;TIME(18,0,0),$D32&lt;TIME(19,1,0)),TIME(18,0,0),$D32),$D32),설정!$B$5)-MAX(IF(VALUE(설정!$B$2)=4,IF(AND($C32&gt;=TIME(8,0,0),$C32&lt;TIME(9,0,0)),TIME(9,0,0),$C32),$C32),설정!$B$4))-TIME(9,0,0)-$E32)),0)))</f>
        <v/>
      </c>
      <c r="G32" s="8">
        <f>IF($B32="휴일",IF(설정!$B$6="예",IF(ROUND($F32*86400,0)&gt;=3660,1,0),0),IF(ISBLANK(C32),0,IF(C32&lt;=TIME(7,59,59),1,0)))</f>
        <v>0</v>
      </c>
      <c r="H32" s="8">
        <f t="shared" si="0"/>
        <v>0</v>
      </c>
      <c r="J32" s="6"/>
      <c r="K32" s="33"/>
      <c r="L32" s="35"/>
      <c r="M32" s="23"/>
    </row>
    <row r="33" spans="1:11">
      <c r="A33" s="6"/>
      <c r="B33" s="55"/>
      <c r="C33" s="5"/>
      <c r="D33" s="11" t="s">
        <v>5</v>
      </c>
      <c r="G33" s="13">
        <f>SUM(F2:F32)</f>
        <v>0</v>
      </c>
      <c r="G33" s="6" t="s">
        <v>7</v>
      </c>
      <c r="H33" s="14">
        <f>MIN(SUM(G2:H32),MAX(0,VALUE(설정!$B$7)))</f>
        <v>0</v>
      </c>
      <c r="L33" s="23"/>
    </row>
    <row r="34" spans="1:11">
      <c r="A34" s="6"/>
      <c r="B34" s="55"/>
      <c r="C34" s="6"/>
      <c r="D34" s="1" t="s">
        <v>6</v>
      </c>
      <c r="F34" s="12">
        <f>MAX(0, ((설정!$B$3*60) - (F33*1440)) / 1440)</f>
        <v>2.0416666666666665</v>
      </c>
      <c r="G34" s="1" t="s">
        <v>6</v>
      </c>
      <c r="H34" s="7">
        <f>MAX(0,MAX(0,VALUE(설정!$B$7))-H33)</f>
        <v>20</v>
      </c>
      <c r="I34" s="6"/>
      <c r="L34" s="23"/>
    </row>
    <row r="35" spans="1:11">
      <c r="D35" s="2" t="s">
        <v>8</v>
      </c>
      <c r="F35" s="12">
        <f>IF(SUM(F2:F32)&gt;(설정!$B$3/24), (SUM(F2:F32)-(설정!$B$3/24)), 0)</f>
        <v>0</v>
      </c>
      <c r="G35" s="2" t="s">
        <v>8</v>
      </c>
      <c r="H35" s="18">
        <f>MAX(0,SUM(G2:H32)-MAX(0,VALUE(설정!$B$7)))</f>
        <v>0</v>
      </c>
    </row>
    <row r="36" spans="1:11">
      <c r="D36" s="1" t="s">
        <v>32</v>
      </c>
      <c r="F36" s="2">
        <f>IF(설정!$B$6&lt;&gt;"아니오",0,COUNTIFS($B$2:$B$32,"휴일",$C$2:$C$32,"&lt;&gt;"))</f>
        <v>0</v>
      </c>
      <c r="H36" s="6">
        <f>SUM(G2:H32)</f>
        <v>0</v>
      </c>
    </row>
    <row r="37" spans="1:11">
      <c r="F37"/>
    </row>
  </sheetData>
  <phoneticPr fontId="1" type="noConversion"/>
  <conditionalFormatting sqref="A2:A32">
    <cfRule type="expression" dxfId="5" priority="1">
      <formula>AND($A2&lt;&gt;"",$B2="휴일")</formula>
    </cfRule>
  </conditionalFormatting>
  <dataValidations count="1">
    <dataValidation type="list" allowBlank="1" showInputMessage="1" showErrorMessage="1" sqref="B2:B32" xr:uid="{3BB299E7-EBF4-49E3-BD39-D8F5A5E0ECB7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P37"/>
  <sheetViews>
    <sheetView workbookViewId="0">
      <selection activeCell="O15" sqref="O15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5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</row>
    <row r="2" spans="1:15" ht="17.25" thickTop="1">
      <c r="A2" s="10" t="str">
        <f>IF(ROW(A2)-1&gt;DAY(EOMONTH(DATE(VALUE(설정!$B$1),8,1),0)),"",TEXT(DATE(VALUE(설정!$B$1),8,ROW(A2)-1),"mm""월 ""dd""일"""))</f>
        <v>08월 01일</v>
      </c>
      <c r="B2" s="10" t="s">
        <v>42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M2" s="20"/>
    </row>
    <row r="3" spans="1:15">
      <c r="A3" s="10" t="str">
        <f>IF(ROW(A3)-1&gt;DAY(EOMONTH(DATE(VALUE(설정!$B$1),8,1),0)),"",TEXT(DATE(VALUE(설정!$B$1),8,ROW(A3)-1),"mm""월 ""dd""일"""))</f>
        <v>08월 02일</v>
      </c>
      <c r="B3" s="10" t="s">
        <v>42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2" si="0">IF($B3="휴일",0,IF(ISBLANK(D3),0,IF(D3&gt;=TIME(19,1,0),1,0)))</f>
        <v>0</v>
      </c>
      <c r="J3" s="36"/>
      <c r="K3" s="35"/>
      <c r="M3" s="20"/>
    </row>
    <row r="4" spans="1:15">
      <c r="A4" s="10" t="str">
        <f>IF(ROW(A4)-1&gt;DAY(EOMONTH(DATE(VALUE(설정!$B$1),8,1),0)),"",TEXT(DATE(VALUE(설정!$B$1),8,ROW(A4)-1),"mm""월 ""dd""일"""))</f>
        <v>08월 03일</v>
      </c>
      <c r="B4" s="57" t="s">
        <v>43</v>
      </c>
      <c r="C4" s="19">
        <v>0.375</v>
      </c>
      <c r="D4" s="19">
        <v>0.75</v>
      </c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J4" s="6"/>
      <c r="K4" s="33"/>
      <c r="L4" s="35"/>
      <c r="M4" s="23"/>
    </row>
    <row r="5" spans="1:15">
      <c r="A5" s="10" t="str">
        <f>IF(ROW(A5)-1&gt;DAY(EOMONTH(DATE(VALUE(설정!$B$1),8,1),0)),"",TEXT(DATE(VALUE(설정!$B$1),8,ROW(A5)-1),"mm""월 ""dd""일"""))</f>
        <v>08월 04일</v>
      </c>
      <c r="B5" s="57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J5" s="6"/>
      <c r="K5" s="33"/>
      <c r="L5" s="35"/>
      <c r="M5" s="23"/>
    </row>
    <row r="6" spans="1:15">
      <c r="A6" s="10" t="str">
        <f>IF(ROW(A6)-1&gt;DAY(EOMONTH(DATE(VALUE(설정!$B$1),8,1),0)),"",TEXT(DATE(VALUE(설정!$B$1),8,ROW(A6)-1),"mm""월 ""dd""일"""))</f>
        <v>08월 05일</v>
      </c>
      <c r="B6" s="57" t="s">
        <v>43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J6" s="6"/>
      <c r="K6" s="33"/>
      <c r="L6" s="35"/>
      <c r="M6" s="23"/>
    </row>
    <row r="7" spans="1:15">
      <c r="A7" s="10" t="str">
        <f>IF(ROW(A7)-1&gt;DAY(EOMONTH(DATE(VALUE(설정!$B$1),8,1),0)),"",TEXT(DATE(VALUE(설정!$B$1),8,ROW(A7)-1),"mm""월 ""dd""일"""))</f>
        <v>08월 06일</v>
      </c>
      <c r="B7" s="57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J7" s="6"/>
      <c r="K7" s="33"/>
      <c r="L7" s="35"/>
      <c r="M7" s="23"/>
    </row>
    <row r="8" spans="1:15">
      <c r="A8" s="10" t="str">
        <f>IF(ROW(A8)-1&gt;DAY(EOMONTH(DATE(VALUE(설정!$B$1),8,1),0)),"",TEXT(DATE(VALUE(설정!$B$1),8,ROW(A8)-1),"mm""월 ""dd""일"""))</f>
        <v>08월 07일</v>
      </c>
      <c r="B8" s="57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J8" s="6"/>
      <c r="K8" s="33"/>
      <c r="L8" s="35"/>
      <c r="M8" s="23"/>
    </row>
    <row r="9" spans="1:15">
      <c r="A9" s="10" t="str">
        <f>IF(ROW(A9)-1&gt;DAY(EOMONTH(DATE(VALUE(설정!$B$1),8,1),0)),"",TEXT(DATE(VALUE(설정!$B$1),8,ROW(A9)-1),"mm""월 ""dd""일"""))</f>
        <v>08월 08일</v>
      </c>
      <c r="B9" s="10" t="s">
        <v>42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J9" s="6"/>
      <c r="K9" s="33"/>
      <c r="L9" s="35"/>
      <c r="M9" s="23"/>
    </row>
    <row r="10" spans="1:15">
      <c r="A10" s="10" t="str">
        <f>IF(ROW(A10)-1&gt;DAY(EOMONTH(DATE(VALUE(설정!$B$1),8,1),0)),"",TEXT(DATE(VALUE(설정!$B$1),8,ROW(A10)-1),"mm""월 ""dd""일"""))</f>
        <v>08월 09일</v>
      </c>
      <c r="B10" s="10" t="s">
        <v>42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J10" s="6"/>
      <c r="K10" s="33"/>
      <c r="L10" s="35"/>
      <c r="M10" s="23"/>
    </row>
    <row r="11" spans="1:15">
      <c r="A11" s="10" t="str">
        <f>IF(ROW(A11)-1&gt;DAY(EOMONTH(DATE(VALUE(설정!$B$1),8,1),0)),"",TEXT(DATE(VALUE(설정!$B$1),8,ROW(A11)-1),"mm""월 ""dd""일"""))</f>
        <v>08월 10일</v>
      </c>
      <c r="B11" s="57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J11" s="45"/>
      <c r="K11" s="33"/>
      <c r="L11" s="35"/>
      <c r="M11" s="23"/>
    </row>
    <row r="12" spans="1:15">
      <c r="A12" s="10" t="str">
        <f>IF(ROW(A12)-1&gt;DAY(EOMONTH(DATE(VALUE(설정!$B$1),8,1),0)),"",TEXT(DATE(VALUE(설정!$B$1),8,ROW(A12)-1),"mm""월 ""dd""일"""))</f>
        <v>08월 11일</v>
      </c>
      <c r="B12" s="57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J12" s="6"/>
      <c r="K12" s="33"/>
      <c r="L12" s="35"/>
      <c r="M12" s="23"/>
      <c r="Q12" s="44"/>
    </row>
    <row r="13" spans="1:15">
      <c r="A13" s="10" t="str">
        <f>IF(ROW(A13)-1&gt;DAY(EOMONTH(DATE(VALUE(설정!$B$1),8,1),0)),"",TEXT(DATE(VALUE(설정!$B$1),8,ROW(A13)-1),"mm""월 ""dd""일"""))</f>
        <v>08월 12일</v>
      </c>
      <c r="B13" s="57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J13" s="6"/>
      <c r="K13" s="33"/>
      <c r="L13" s="35"/>
      <c r="M13" s="23"/>
    </row>
    <row r="14" spans="1:15">
      <c r="A14" s="10" t="str">
        <f>IF(ROW(A14)-1&gt;DAY(EOMONTH(DATE(VALUE(설정!$B$1),8,1),0)),"",TEXT(DATE(VALUE(설정!$B$1),8,ROW(A14)-1),"mm""월 ""dd""일"""))</f>
        <v>08월 13일</v>
      </c>
      <c r="B14" s="57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J14" s="6"/>
      <c r="K14" s="33"/>
      <c r="L14" s="35"/>
      <c r="M14" s="23"/>
    </row>
    <row r="15" spans="1:15">
      <c r="A15" s="10" t="str">
        <f>IF(ROW(A15)-1&gt;DAY(EOMONTH(DATE(VALUE(설정!$B$1),8,1),0)),"",TEXT(DATE(VALUE(설정!$B$1),8,ROW(A15)-1),"mm""월 ""dd""일"""))</f>
        <v>08월 14일</v>
      </c>
      <c r="B15" s="57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J15" s="6"/>
      <c r="K15" s="33"/>
      <c r="L15" s="35"/>
      <c r="M15" s="23"/>
    </row>
    <row r="16" spans="1:15">
      <c r="A16" s="10" t="str">
        <f>IF(ROW(A16)-1&gt;DAY(EOMONTH(DATE(VALUE(설정!$B$1),8,1),0)),"",TEXT(DATE(VALUE(설정!$B$1),8,ROW(A16)-1),"mm""월 ""dd""일"""))</f>
        <v>08월 15일</v>
      </c>
      <c r="B16" s="10" t="s">
        <v>42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J16" s="45"/>
      <c r="K16" s="33"/>
      <c r="L16" s="35"/>
      <c r="M16" s="23"/>
    </row>
    <row r="17" spans="1:11">
      <c r="A17" s="10" t="str">
        <f>IF(ROW(A17)-1&gt;DAY(EOMONTH(DATE(VALUE(설정!$B$1),8,1),0)),"",TEXT(DATE(VALUE(설정!$B$1),8,ROW(A17)-1),"mm""월 ""dd""일"""))</f>
        <v>08월 16일</v>
      </c>
      <c r="B17" s="10" t="s">
        <v>42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J17" s="45"/>
      <c r="K17" s="33"/>
      <c r="L17" s="35"/>
      <c r="M17" s="23"/>
    </row>
    <row r="18" spans="1:11">
      <c r="A18" s="10" t="str">
        <f>IF(ROW(A18)-1&gt;DAY(EOMONTH(DATE(VALUE(설정!$B$1),8,1),0)),"",TEXT(DATE(VALUE(설정!$B$1),8,ROW(A18)-1),"mm""월 ""dd""일"""))</f>
        <v>08월 17일</v>
      </c>
      <c r="B18" s="10" t="s">
        <v>41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J18" s="45" t="s">
        <v>66</v>
      </c>
      <c r="K18" s="33"/>
      <c r="L18" s="35"/>
      <c r="M18" s="23"/>
    </row>
    <row r="19" spans="1:11">
      <c r="A19" s="10" t="str">
        <f>IF(ROW(A19)-1&gt;DAY(EOMONTH(DATE(VALUE(설정!$B$1),8,1),0)),"",TEXT(DATE(VALUE(설정!$B$1),8,ROW(A19)-1),"mm""월 ""dd""일"""))</f>
        <v>08월 18일</v>
      </c>
      <c r="B19" s="57" t="s">
        <v>43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J19" s="6"/>
      <c r="K19" s="33"/>
      <c r="L19" s="35"/>
      <c r="M19" s="23"/>
    </row>
    <row r="20" spans="1:11">
      <c r="A20" s="10" t="str">
        <f>IF(ROW(A20)-1&gt;DAY(EOMONTH(DATE(VALUE(설정!$B$1),8,1),0)),"",TEXT(DATE(VALUE(설정!$B$1),8,ROW(A20)-1),"mm""월 ""dd""일"""))</f>
        <v>08월 19일</v>
      </c>
      <c r="B20" s="57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J20" s="6"/>
      <c r="K20" s="33"/>
      <c r="L20" s="35"/>
      <c r="M20" s="23"/>
    </row>
    <row r="21" spans="1:11">
      <c r="A21" s="10" t="str">
        <f>IF(ROW(A21)-1&gt;DAY(EOMONTH(DATE(VALUE(설정!$B$1),8,1),0)),"",TEXT(DATE(VALUE(설정!$B$1),8,ROW(A21)-1),"mm""월 ""dd""일"""))</f>
        <v>08월 20일</v>
      </c>
      <c r="B21" s="57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J21" s="6"/>
      <c r="K21" s="33"/>
      <c r="L21" s="35"/>
      <c r="M21" s="23"/>
    </row>
    <row r="22" spans="1:11">
      <c r="A22" s="10" t="str">
        <f>IF(ROW(A22)-1&gt;DAY(EOMONTH(DATE(VALUE(설정!$B$1),8,1),0)),"",TEXT(DATE(VALUE(설정!$B$1),8,ROW(A22)-1),"mm""월 ""dd""일"""))</f>
        <v>08월 21일</v>
      </c>
      <c r="B22" s="57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J22" s="6"/>
      <c r="K22" s="33"/>
      <c r="L22" s="35"/>
      <c r="M22" s="23"/>
    </row>
    <row r="23" spans="1:11">
      <c r="A23" s="10" t="str">
        <f>IF(ROW(A23)-1&gt;DAY(EOMONTH(DATE(VALUE(설정!$B$1),8,1),0)),"",TEXT(DATE(VALUE(설정!$B$1),8,ROW(A23)-1),"mm""월 ""dd""일"""))</f>
        <v>08월 22일</v>
      </c>
      <c r="B23" s="10" t="s">
        <v>42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J23" s="6"/>
      <c r="K23" s="33"/>
      <c r="L23" s="35"/>
      <c r="M23" s="23"/>
    </row>
    <row r="24" spans="1:11">
      <c r="A24" s="10" t="str">
        <f>IF(ROW(A24)-1&gt;DAY(EOMONTH(DATE(VALUE(설정!$B$1),8,1),0)),"",TEXT(DATE(VALUE(설정!$B$1),8,ROW(A24)-1),"mm""월 ""dd""일"""))</f>
        <v>08월 23일</v>
      </c>
      <c r="B24" s="10" t="s">
        <v>42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J24" s="45"/>
      <c r="K24" s="33"/>
      <c r="L24" s="35"/>
      <c r="M24" s="23"/>
    </row>
    <row r="25" spans="1:11">
      <c r="A25" s="10" t="str">
        <f>IF(ROW(A25)-1&gt;DAY(EOMONTH(DATE(VALUE(설정!$B$1),8,1),0)),"",TEXT(DATE(VALUE(설정!$B$1),8,ROW(A25)-1),"mm""월 ""dd""일"""))</f>
        <v>08월 24일</v>
      </c>
      <c r="B25" s="57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J25" s="45"/>
      <c r="K25" s="33"/>
      <c r="L25" s="35"/>
      <c r="M25" s="23"/>
    </row>
    <row r="26" spans="1:11">
      <c r="A26" s="10" t="str">
        <f>IF(ROW(A26)-1&gt;DAY(EOMONTH(DATE(VALUE(설정!$B$1),8,1),0)),"",TEXT(DATE(VALUE(설정!$B$1),8,ROW(A26)-1),"mm""월 ""dd""일"""))</f>
        <v>08월 25일</v>
      </c>
      <c r="B26" s="57" t="s">
        <v>43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K26" s="33"/>
      <c r="L26" s="35"/>
    </row>
    <row r="27" spans="1:11">
      <c r="A27" s="10" t="str">
        <f>IF(ROW(A27)-1&gt;DAY(EOMONTH(DATE(VALUE(설정!$B$1),8,1),0)),"",TEXT(DATE(VALUE(설정!$B$1),8,ROW(A27)-1),"mm""월 ""dd""일"""))</f>
        <v>08월 26일</v>
      </c>
      <c r="B27" s="57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J27" s="6"/>
      <c r="K27" s="33"/>
      <c r="L27" s="35"/>
      <c r="M27" s="23"/>
    </row>
    <row r="28" spans="1:11">
      <c r="A28" s="10" t="str">
        <f>IF(ROW(A28)-1&gt;DAY(EOMONTH(DATE(VALUE(설정!$B$1),8,1),0)),"",TEXT(DATE(VALUE(설정!$B$1),8,ROW(A28)-1),"mm""월 ""dd""일"""))</f>
        <v>08월 27일</v>
      </c>
      <c r="B28" s="57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J28" s="6"/>
      <c r="K28" s="33"/>
      <c r="L28" s="35"/>
      <c r="M28" s="23"/>
    </row>
    <row r="29" spans="1:11">
      <c r="A29" s="10" t="str">
        <f>IF(ROW(A29)-1&gt;DAY(EOMONTH(DATE(VALUE(설정!$B$1),8,1),0)),"",TEXT(DATE(VALUE(설정!$B$1),8,ROW(A29)-1),"mm""월 ""dd""일"""))</f>
        <v>08월 28일</v>
      </c>
      <c r="B29" s="57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J29" s="6"/>
      <c r="K29" s="33"/>
      <c r="L29" s="35"/>
      <c r="M29" s="23"/>
    </row>
    <row r="30" spans="1:11">
      <c r="A30" s="10" t="str">
        <f>IF(ROW(A30)-1&gt;DAY(EOMONTH(DATE(VALUE(설정!$B$1),8,1),0)),"",TEXT(DATE(VALUE(설정!$B$1),8,ROW(A30)-1),"mm""월 ""dd""일"""))</f>
        <v>08월 29일</v>
      </c>
      <c r="B30" s="10" t="s">
        <v>42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J30" s="6"/>
      <c r="K30" s="33"/>
      <c r="L30" s="35"/>
      <c r="M30" s="23"/>
    </row>
    <row r="31" spans="1:11">
      <c r="A31" s="10" t="str">
        <f>IF(ROW(A31)-1&gt;DAY(EOMONTH(DATE(VALUE(설정!$B$1),8,1),0)),"",TEXT(DATE(VALUE(설정!$B$1),8,ROW(A31)-1),"mm""월 ""dd""일"""))</f>
        <v>08월 30일</v>
      </c>
      <c r="B31" s="10" t="s">
        <v>42</v>
      </c>
      <c r="C31" s="9"/>
      <c r="D31" s="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J31" s="6"/>
      <c r="K31" s="33"/>
      <c r="L31" s="35"/>
      <c r="M31" s="23"/>
    </row>
    <row r="32" spans="1:11">
      <c r="A32" s="10" t="str">
        <f>IF(ROW(A32)-1&gt;DAY(EOMONTH(DATE(VALUE(설정!$B$1),8,1),0)),"",TEXT(DATE(VALUE(설정!$B$1),8,ROW(A32)-1),"mm""월 ""dd""일"""))</f>
        <v>08월 31일</v>
      </c>
      <c r="B32" s="57" t="s">
        <v>43</v>
      </c>
      <c r="C32" s="9"/>
      <c r="D32" s="9"/>
      <c r="E32" s="19">
        <f>IF($A32="",0,IF($B32="평일",TIME(1,0,0),0))</f>
        <v/>
      </c>
      <c r="F32" s="19">
        <f>IF(OR($C32="",$D32=""),0,IF(AND($B32="휴일",설정!$B$6="예"),MIN(MAX(0,VALUE(설정!$B$2))/24,MAX(0,(MIN(IF(VALUE(설정!$B$2)=4,IF(AND($D32&gt;TIME(18,0,0),$D32&lt;TIME(19,1,0)),TIME(18,0,0),$D32),$D32),설정!$B$5)-MAX(IF(VALUE(설정!$B$2)=4,IF(AND($C32&gt;=TIME(8,0,0),$C32&lt;TIME(9,0,0)),TIME(9,0,0),$C32),$C32),설정!$B$4))-$E32)),IF($B32="평일",MIN(MAX(0,VALUE(설정!$B$2))/24,MAX(0,(MIN(IF(VALUE(설정!$B$2)=4,IF(AND($D32&gt;TIME(18,0,0),$D32&lt;TIME(19,1,0)),TIME(18,0,0),$D32),$D32),설정!$B$5)-MAX(IF(VALUE(설정!$B$2)=4,IF(AND($C32&gt;=TIME(8,0,0),$C32&lt;TIME(9,0,0)),TIME(9,0,0),$C32),$C32),설정!$B$4))-TIME(9,0,0)-$E32)),0)))</f>
        <v/>
      </c>
      <c r="G32" s="8">
        <f>IF($B32="휴일",IF(설정!$B$6="예",IF(ROUND($F32*86400,0)&gt;=3660,1,0),0),IF(ISBLANK(C32),0,IF(C32&lt;=TIME(7,59,59),1,0)))</f>
        <v>0</v>
      </c>
      <c r="H32" s="8">
        <f t="shared" si="0"/>
        <v>0</v>
      </c>
      <c r="J32" s="6"/>
      <c r="K32" s="33"/>
      <c r="L32" s="35"/>
      <c r="M32" s="23"/>
    </row>
    <row r="33" spans="1:11">
      <c r="A33" s="6"/>
      <c r="B33" s="55"/>
      <c r="C33" s="5"/>
      <c r="D33" s="11" t="s">
        <v>5</v>
      </c>
      <c r="G33" s="13">
        <f>SUM(F2:F32)</f>
        <v>0</v>
      </c>
      <c r="G33" s="6" t="s">
        <v>7</v>
      </c>
      <c r="H33" s="14">
        <f>MIN(SUM(G2:H32),MAX(0,VALUE(설정!$B$7)))</f>
        <v>0</v>
      </c>
      <c r="L33" s="23"/>
    </row>
    <row r="34" spans="1:11">
      <c r="A34" s="6"/>
      <c r="B34" s="55"/>
      <c r="C34" s="6"/>
      <c r="D34" s="1" t="s">
        <v>6</v>
      </c>
      <c r="F34" s="12">
        <f>MAX(0, ((설정!$B$3*60) - (F33*1440)) / 1440)</f>
        <v>2.0416666666666665</v>
      </c>
      <c r="G34" s="1" t="s">
        <v>6</v>
      </c>
      <c r="H34" s="7">
        <f>MAX(0,MAX(0,VALUE(설정!$B$7))-H33)</f>
        <v>20</v>
      </c>
      <c r="I34" s="6"/>
      <c r="L34" s="23"/>
    </row>
    <row r="35" spans="1:11">
      <c r="D35" s="2" t="s">
        <v>8</v>
      </c>
      <c r="F35" s="12">
        <f>IF(SUM(F2:F32)&gt;(설정!$B$3/24), (SUM(F2:F32)-(설정!$B$3/24)), 0)</f>
        <v>0</v>
      </c>
      <c r="G35" s="2" t="s">
        <v>8</v>
      </c>
      <c r="H35" s="18">
        <f>MAX(0,SUM(G2:H32)-MAX(0,VALUE(설정!$B$7)))</f>
        <v>0</v>
      </c>
    </row>
    <row r="36" spans="1:11">
      <c r="D36" s="1" t="s">
        <v>32</v>
      </c>
      <c r="F36" s="2">
        <f>IF(설정!$B$6&lt;&gt;"아니오",0,COUNTIFS($B$2:$B$32,"휴일",$C$2:$C$32,"&lt;&gt;"))</f>
        <v>0</v>
      </c>
      <c r="H36" s="6">
        <f>SUM(G2:H32)</f>
        <v>0</v>
      </c>
    </row>
    <row r="37" spans="1:11">
      <c r="F37"/>
    </row>
  </sheetData>
  <phoneticPr fontId="1" type="noConversion"/>
  <conditionalFormatting sqref="A2:A32">
    <cfRule type="expression" dxfId="4" priority="1">
      <formula>AND($A2&lt;&gt;"",$B2="휴일")</formula>
    </cfRule>
  </conditionalFormatting>
  <dataValidations count="1">
    <dataValidation type="list" allowBlank="1" showInputMessage="1" showErrorMessage="1" sqref="B2:B32" xr:uid="{9EFC9A80-ED36-401E-AFDF-DA92C602E59A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M36"/>
  <sheetViews>
    <sheetView workbookViewId="0">
      <selection activeCell="M17" sqref="M17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  <c r="L1" s="26" t="s">
        <v>83</v>
      </c>
      <c r="M1" s="15">
        <f>MAX(0,VALUE(설정!$B$8))</f>
        <v>177</v>
      </c>
    </row>
    <row r="2" spans="1:12" ht="17.25" thickTop="1">
      <c r="A2" s="10" t="str">
        <f>IF(ROW(A2)-1&gt;DAY(EOMONTH(DATE(VALUE(설정!$B$1),9,1),0)),"",TEXT(DATE(VALUE(설정!$B$1),9,ROW(A2)-1),"mm""월 ""dd""일"""))</f>
        <v>09월 01일</v>
      </c>
      <c r="B2" s="10" t="s">
        <v>43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L2" s="63" t="s">
        <v>89</v>
      </c>
      <c r="M2" s="70">
        <f>'7월'!$F$33</f>
        <v>0</v>
      </c>
    </row>
    <row r="3" spans="1:12">
      <c r="A3" s="10" t="str">
        <f>IF(ROW(A3)-1&gt;DAY(EOMONTH(DATE(VALUE(설정!$B$1),9,1),0)),"",TEXT(DATE(VALUE(설정!$B$1),9,ROW(A3)-1),"mm""월 ""dd""일"""))</f>
        <v>09월 02일</v>
      </c>
      <c r="B3" s="10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1" si="0">IF($B3="휴일",0,IF(ISBLANK(D3),0,IF(D3&gt;=TIME(19,1,0),1,0)))</f>
        <v>0</v>
      </c>
      <c r="J3" s="37"/>
      <c r="K3" s="35"/>
      <c r="L3" s="63" t="s">
        <v>90</v>
      </c>
      <c r="M3" s="70">
        <f>'8월'!$F$33</f>
        <v>0</v>
      </c>
    </row>
    <row r="4" spans="1:12">
      <c r="A4" s="10" t="str">
        <f>IF(ROW(A4)-1&gt;DAY(EOMONTH(DATE(VALUE(설정!$B$1),9,1),0)),"",TEXT(DATE(VALUE(설정!$B$1),9,ROW(A4)-1),"mm""월 ""dd""일"""))</f>
        <v>09월 03일</v>
      </c>
      <c r="B4" s="10" t="s">
        <v>43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J4" s="6"/>
      <c r="K4" s="33"/>
      <c r="L4" s="35"/>
      <c r="M4" s="63" t="s">
        <v>91</v>
      </c>
      <c r="N4" s="70">
        <f>'9월'!$F$32</f>
        <v>0</v>
      </c>
    </row>
    <row r="5" spans="1:12">
      <c r="A5" s="10" t="str">
        <f>IF(ROW(A5)-1&gt;DAY(EOMONTH(DATE(VALUE(설정!$B$1),9,1),0)),"",TEXT(DATE(VALUE(설정!$B$1),9,ROW(A5)-1),"mm""월 ""dd""일"""))</f>
        <v>09월 04일</v>
      </c>
      <c r="B5" s="10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J5" s="6"/>
      <c r="K5" s="33"/>
      <c r="L5" s="35"/>
      <c r="M5" s="64" t="s">
        <v>5</v>
      </c>
      <c r="N5" s="65">
        <f>SUM(M2:M4)</f>
        <v>0</v>
      </c>
    </row>
    <row r="6" spans="1:12">
      <c r="A6" s="10" t="str">
        <f>IF(ROW(A6)-1&gt;DAY(EOMONTH(DATE(VALUE(설정!$B$1),9,1),0)),"",TEXT(DATE(VALUE(설정!$B$1),9,ROW(A6)-1),"mm""월 ""dd""일"""))</f>
        <v>09월 05일</v>
      </c>
      <c r="B6" s="57" t="s">
        <v>42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J6" s="6"/>
      <c r="K6" s="33"/>
      <c r="L6" s="35"/>
      <c r="M6" s="66" t="s">
        <v>84</v>
      </c>
      <c r="N6" s="67">
        <f>MAX(0,(MAX(0,VALUE(설정!$B$8))/24)-M5)</f>
        <v>0</v>
      </c>
    </row>
    <row r="7" spans="1:12">
      <c r="A7" s="10" t="str">
        <f>IF(ROW(A7)-1&gt;DAY(EOMONTH(DATE(VALUE(설정!$B$1),9,1),0)),"",TEXT(DATE(VALUE(설정!$B$1),9,ROW(A7)-1),"mm""월 ""dd""일"""))</f>
        <v>09월 06일</v>
      </c>
      <c r="B7" s="57" t="s">
        <v>42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J7" s="47"/>
      <c r="K7" s="33"/>
      <c r="L7" s="35"/>
      <c r="M7" s="68" t="s">
        <v>85</v>
      </c>
      <c r="N7" s="69">
        <f>MAX(0,M5-(MAX(0,VALUE(설정!$B$8))/24))</f>
        <v>0</v>
      </c>
    </row>
    <row r="8" spans="1:12">
      <c r="A8" s="10" t="str">
        <f>IF(ROW(A8)-1&gt;DAY(EOMONTH(DATE(VALUE(설정!$B$1),9,1),0)),"",TEXT(DATE(VALUE(설정!$B$1),9,ROW(A8)-1),"mm""월 ""dd""일"""))</f>
        <v>09월 07일</v>
      </c>
      <c r="B8" s="10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J8" s="47"/>
      <c r="K8" s="33"/>
      <c r="L8" s="35"/>
      <c r="M8" s="23" t="s">
        <v>95</v>
      </c>
    </row>
    <row r="9" spans="1:12">
      <c r="A9" s="10" t="str">
        <f>IF(ROW(A9)-1&gt;DAY(EOMONTH(DATE(VALUE(설정!$B$1),9,1),0)),"",TEXT(DATE(VALUE(설정!$B$1),9,ROW(A9)-1),"mm""월 ""dd""일"""))</f>
        <v>09월 08일</v>
      </c>
      <c r="B9" s="10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J9" s="6"/>
      <c r="K9" s="33"/>
      <c r="L9" s="26" t="inlineStr">
        <is>
          <t>분기급량상한</t>
        </is>
      </c>
      <c r="M9" s="15">
        <f>MAX(0,VALUE(설정!$B$9))</f>
        <v/>
      </c>
    </row>
    <row r="10" spans="1:12">
      <c r="A10" s="10" t="str">
        <f>IF(ROW(A10)-1&gt;DAY(EOMONTH(DATE(VALUE(설정!$B$1),9,1),0)),"",TEXT(DATE(VALUE(설정!$B$1),9,ROW(A10)-1),"mm""월 ""dd""일"""))</f>
        <v>09월 09일</v>
      </c>
      <c r="B10" s="10" t="s">
        <v>43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J10" s="48"/>
      <c r="K10" s="33"/>
      <c r="L10" s="26" t="inlineStr">
        <is>
          <t>7월</t>
        </is>
      </c>
      <c r="M10" s="15">
        <f>'7월'!$H$33</f>
        <v/>
      </c>
    </row>
    <row r="11" spans="1:12">
      <c r="A11" s="10" t="str">
        <f>IF(ROW(A11)-1&gt;DAY(EOMONTH(DATE(VALUE(설정!$B$1),9,1),0)),"",TEXT(DATE(VALUE(설정!$B$1),9,ROW(A11)-1),"mm""월 ""dd""일"""))</f>
        <v>09월 10일</v>
      </c>
      <c r="B11" s="10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J11" s="6"/>
      <c r="K11" s="33"/>
      <c r="L11" s="26" t="inlineStr">
        <is>
          <t>8월</t>
        </is>
      </c>
      <c r="M11" s="15">
        <f>'8월'!$H$33</f>
        <v/>
      </c>
    </row>
    <row r="12" spans="1:12">
      <c r="A12" s="10" t="str">
        <f>IF(ROW(A12)-1&gt;DAY(EOMONTH(DATE(VALUE(설정!$B$1),9,1),0)),"",TEXT(DATE(VALUE(설정!$B$1),9,ROW(A12)-1),"mm""월 ""dd""일"""))</f>
        <v>09월 11일</v>
      </c>
      <c r="B12" s="10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J12" s="6"/>
      <c r="K12" s="33"/>
      <c r="L12" s="26" t="inlineStr">
        <is>
          <t>9월</t>
        </is>
      </c>
      <c r="M12" s="15">
        <f>'9월'!$H$32</f>
        <v/>
      </c>
    </row>
    <row r="13" spans="1:12">
      <c r="A13" s="10" t="str">
        <f>IF(ROW(A13)-1&gt;DAY(EOMONTH(DATE(VALUE(설정!$B$1),9,1),0)),"",TEXT(DATE(VALUE(설정!$B$1),9,ROW(A13)-1),"mm""월 ""dd""일"""))</f>
        <v>09월 12일</v>
      </c>
      <c r="B13" s="57" t="s">
        <v>42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J13" s="6"/>
      <c r="K13" s="33"/>
      <c r="L13" s="26" t="inlineStr">
        <is>
          <t>분기급량합계</t>
        </is>
      </c>
      <c r="M13" s="15">
        <f>SUM(M10:M12)</f>
        <v/>
      </c>
    </row>
    <row r="14" spans="1:12">
      <c r="A14" s="10" t="str">
        <f>IF(ROW(A14)-1&gt;DAY(EOMONTH(DATE(VALUE(설정!$B$1),9,1),0)),"",TEXT(DATE(VALUE(설정!$B$1),9,ROW(A14)-1),"mm""월 ""dd""일"""))</f>
        <v>09월 13일</v>
      </c>
      <c r="B14" s="57" t="s">
        <v>42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J14" s="47"/>
      <c r="K14" s="33"/>
      <c r="L14" s="26" t="inlineStr">
        <is>
          <t>분기급량미달</t>
        </is>
      </c>
      <c r="M14" s="15">
        <f>MAX(0,M9-M13)</f>
        <v/>
      </c>
    </row>
    <row r="15" spans="1:12">
      <c r="A15" s="10" t="str">
        <f>IF(ROW(A15)-1&gt;DAY(EOMONTH(DATE(VALUE(설정!$B$1),9,1),0)),"",TEXT(DATE(VALUE(설정!$B$1),9,ROW(A15)-1),"mm""월 ""dd""일"""))</f>
        <v>09월 14일</v>
      </c>
      <c r="B15" s="10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J15" s="47"/>
      <c r="K15" s="33"/>
      <c r="L15" s="26" t="inlineStr">
        <is>
          <t>분기급량초과</t>
        </is>
      </c>
      <c r="M15" s="15">
        <f>MAX(0,M13-M9)</f>
        <v/>
      </c>
    </row>
    <row r="16" spans="1:12">
      <c r="A16" s="10" t="str">
        <f>IF(ROW(A16)-1&gt;DAY(EOMONTH(DATE(VALUE(설정!$B$1),9,1),0)),"",TEXT(DATE(VALUE(설정!$B$1),9,ROW(A16)-1),"mm""월 ""dd""일"""))</f>
        <v>09월 15일</v>
      </c>
      <c r="B16" s="10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J16" s="6"/>
      <c r="K16" s="33"/>
      <c r="L16" s="35"/>
      <c r="M16" s="23"/>
    </row>
    <row r="17" spans="1:11">
      <c r="A17" s="10" t="str">
        <f>IF(ROW(A17)-1&gt;DAY(EOMONTH(DATE(VALUE(설정!$B$1),9,1),0)),"",TEXT(DATE(VALUE(설정!$B$1),9,ROW(A17)-1),"mm""월 ""dd""일"""))</f>
        <v>09월 16일</v>
      </c>
      <c r="B17" s="10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J17" s="46"/>
      <c r="K17" s="33"/>
      <c r="L17" s="35"/>
      <c r="M17" s="23"/>
    </row>
    <row r="18" spans="1:11">
      <c r="A18" s="10" t="str">
        <f>IF(ROW(A18)-1&gt;DAY(EOMONTH(DATE(VALUE(설정!$B$1),9,1),0)),"",TEXT(DATE(VALUE(설정!$B$1),9,ROW(A18)-1),"mm""월 ""dd""일"""))</f>
        <v>09월 17일</v>
      </c>
      <c r="B18" s="10" t="s">
        <v>43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J18" s="46"/>
      <c r="K18" s="33"/>
      <c r="L18" s="35"/>
      <c r="M18" s="23"/>
    </row>
    <row r="19" spans="1:11">
      <c r="A19" s="10" t="str">
        <f>IF(ROW(A19)-1&gt;DAY(EOMONTH(DATE(VALUE(설정!$B$1),9,1),0)),"",TEXT(DATE(VALUE(설정!$B$1),9,ROW(A19)-1),"mm""월 ""dd""일"""))</f>
        <v>09월 18일</v>
      </c>
      <c r="B19" s="10" t="s">
        <v>43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J19" s="46"/>
      <c r="K19" s="33"/>
      <c r="L19" s="35"/>
      <c r="M19" s="23"/>
    </row>
    <row r="20" spans="1:11">
      <c r="A20" s="10" t="str">
        <f>IF(ROW(A20)-1&gt;DAY(EOMONTH(DATE(VALUE(설정!$B$1),9,1),0)),"",TEXT(DATE(VALUE(설정!$B$1),9,ROW(A20)-1),"mm""월 ""dd""일"""))</f>
        <v>09월 19일</v>
      </c>
      <c r="B20" s="57" t="s">
        <v>42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J20" s="6"/>
      <c r="K20" s="33"/>
      <c r="L20" s="35"/>
      <c r="M20" s="23"/>
    </row>
    <row r="21" spans="1:11">
      <c r="A21" s="10" t="str">
        <f>IF(ROW(A21)-1&gt;DAY(EOMONTH(DATE(VALUE(설정!$B$1),9,1),0)),"",TEXT(DATE(VALUE(설정!$B$1),9,ROW(A21)-1),"mm""월 ""dd""일"""))</f>
        <v>09월 20일</v>
      </c>
      <c r="B21" s="57" t="s">
        <v>42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J21" s="6"/>
      <c r="K21" s="33"/>
      <c r="L21" s="35"/>
      <c r="M21" s="23"/>
    </row>
    <row r="22" spans="1:11">
      <c r="A22" s="10" t="str">
        <f>IF(ROW(A22)-1&gt;DAY(EOMONTH(DATE(VALUE(설정!$B$1),9,1),0)),"",TEXT(DATE(VALUE(설정!$B$1),9,ROW(A22)-1),"mm""월 ""dd""일"""))</f>
        <v>09월 21일</v>
      </c>
      <c r="B22" s="10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J22" s="46"/>
      <c r="K22" s="33"/>
      <c r="L22" s="35"/>
      <c r="M22" s="23"/>
    </row>
    <row r="23" spans="1:11">
      <c r="A23" s="10" t="str">
        <f>IF(ROW(A23)-1&gt;DAY(EOMONTH(DATE(VALUE(설정!$B$1),9,1),0)),"",TEXT(DATE(VALUE(설정!$B$1),9,ROW(A23)-1),"mm""월 ""dd""일"""))</f>
        <v>09월 22일</v>
      </c>
      <c r="B23" s="10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J23" s="6"/>
      <c r="K23" s="33"/>
      <c r="L23" s="35"/>
      <c r="M23" s="23"/>
    </row>
    <row r="24" spans="1:11">
      <c r="A24" s="10" t="str">
        <f>IF(ROW(A24)-1&gt;DAY(EOMONTH(DATE(VALUE(설정!$B$1),9,1),0)),"",TEXT(DATE(VALUE(설정!$B$1),9,ROW(A24)-1),"mm""월 ""dd""일"""))</f>
        <v>09월 23일</v>
      </c>
      <c r="B24" s="10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J24" s="6"/>
      <c r="K24" s="33"/>
      <c r="L24" s="35"/>
      <c r="M24" s="23"/>
    </row>
    <row r="25" spans="1:11">
      <c r="A25" s="10" t="str">
        <f>IF(ROW(A25)-1&gt;DAY(EOMONTH(DATE(VALUE(설정!$B$1),9,1),0)),"",TEXT(DATE(VALUE(설정!$B$1),9,ROW(A25)-1),"mm""월 ""dd""일"""))</f>
        <v>09월 24일</v>
      </c>
      <c r="B25" s="57" t="s">
        <v>41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J25" s="6"/>
      <c r="K25" s="33"/>
      <c r="L25" s="35"/>
      <c r="M25" s="23"/>
    </row>
    <row r="26" spans="1:11">
      <c r="A26" s="10" t="str">
        <f>IF(ROW(A26)-1&gt;DAY(EOMONTH(DATE(VALUE(설정!$B$1),9,1),0)),"",TEXT(DATE(VALUE(설정!$B$1),9,ROW(A26)-1),"mm""월 ""dd""일"""))</f>
        <v>09월 25일</v>
      </c>
      <c r="B26" s="57" t="s">
        <v>41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J26" s="6" t="s">
        <v>69</v>
      </c>
      <c r="K26" s="33"/>
      <c r="L26" s="35"/>
      <c r="M26" s="23"/>
    </row>
    <row r="27" spans="1:11">
      <c r="A27" s="10" t="str">
        <f>IF(ROW(A27)-1&gt;DAY(EOMONTH(DATE(VALUE(설정!$B$1),9,1),0)),"",TEXT(DATE(VALUE(설정!$B$1),9,ROW(A27)-1),"mm""월 ""dd""일"""))</f>
        <v>09월 26일</v>
      </c>
      <c r="B27" s="57" t="s">
        <v>42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J27" s="6"/>
      <c r="K27" s="33"/>
      <c r="L27" s="35"/>
      <c r="M27" s="23"/>
    </row>
    <row r="28" spans="1:11">
      <c r="A28" s="10" t="str">
        <f>IF(ROW(A28)-1&gt;DAY(EOMONTH(DATE(VALUE(설정!$B$1),9,1),0)),"",TEXT(DATE(VALUE(설정!$B$1),9,ROW(A28)-1),"mm""월 ""dd""일"""))</f>
        <v>09월 27일</v>
      </c>
      <c r="B28" s="57" t="s">
        <v>42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J28" s="6"/>
      <c r="K28" s="33"/>
      <c r="L28" s="35"/>
      <c r="M28" s="23"/>
    </row>
    <row r="29" spans="1:11">
      <c r="A29" s="10" t="str">
        <f>IF(ROW(A29)-1&gt;DAY(EOMONTH(DATE(VALUE(설정!$B$1),9,1),0)),"",TEXT(DATE(VALUE(설정!$B$1),9,ROW(A29)-1),"mm""월 ""dd""일"""))</f>
        <v>09월 28일</v>
      </c>
      <c r="B29" s="10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J29" s="6"/>
      <c r="K29" s="33"/>
      <c r="L29" s="35"/>
      <c r="M29" s="23"/>
    </row>
    <row r="30" spans="1:11">
      <c r="A30" s="10" t="str">
        <f>IF(ROW(A30)-1&gt;DAY(EOMONTH(DATE(VALUE(설정!$B$1),9,1),0)),"",TEXT(DATE(VALUE(설정!$B$1),9,ROW(A30)-1),"mm""월 ""dd""일"""))</f>
        <v>09월 29일</v>
      </c>
      <c r="B30" s="10" t="s">
        <v>43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J30" s="6"/>
      <c r="K30" s="33"/>
      <c r="L30" s="35"/>
      <c r="M30" s="23"/>
    </row>
    <row r="31" spans="1:11">
      <c r="A31" s="10" t="str">
        <f>IF(ROW(A31)-1&gt;DAY(EOMONTH(DATE(VALUE(설정!$B$1),9,1),0)),"",TEXT(DATE(VALUE(설정!$B$1),9,ROW(A31)-1),"mm""월 ""dd""일"""))</f>
        <v>09월 30일</v>
      </c>
      <c r="B31" s="10" t="s">
        <v>43</v>
      </c>
      <c r="C31" s="19"/>
      <c r="D31" s="1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J31" s="6"/>
      <c r="K31" s="33"/>
      <c r="L31" s="35"/>
      <c r="M31" s="23"/>
    </row>
    <row r="32" spans="1:11">
      <c r="A32" s="6"/>
      <c r="B32" s="55"/>
      <c r="C32" s="5"/>
      <c r="D32" s="11" t="s">
        <v>5</v>
      </c>
      <c r="G32" s="13">
        <f>SUM(F2:F31)</f>
        <v>0</v>
      </c>
      <c r="G32" s="6" t="s">
        <v>7</v>
      </c>
      <c r="H32" s="14">
        <f>MIN(SUM(G2:H31),MAX(0,VALUE(설정!$B$7)))</f>
        <v>0</v>
      </c>
      <c r="L32" s="23"/>
    </row>
    <row r="33" spans="1:11">
      <c r="A33" s="6"/>
      <c r="B33" s="55"/>
      <c r="C33" s="6"/>
      <c r="D33" s="1" t="s">
        <v>6</v>
      </c>
      <c r="F33" s="12">
        <f>MAX(0, ((설정!$B$3*60) - (F32*1440)) / 1440)</f>
        <v>2.0416666666666665</v>
      </c>
      <c r="G33" s="1" t="s">
        <v>6</v>
      </c>
      <c r="H33" s="7">
        <f>MAX(0,MAX(0,VALUE(설정!$B$7))-H32)</f>
        <v>20</v>
      </c>
      <c r="I33" s="6"/>
      <c r="L33" s="23"/>
    </row>
    <row r="34" spans="1:11">
      <c r="D34" s="2" t="s">
        <v>8</v>
      </c>
      <c r="F34" s="12">
        <f>IF(SUM(F2:F31)&gt;(설정!$B$3/24), (SUM(F2:F31)-(설정!$B$3/24)), 0)</f>
        <v>0</v>
      </c>
      <c r="G34" s="2" t="s">
        <v>8</v>
      </c>
      <c r="H34" s="18">
        <f>MAX(0,SUM(G2:H31)-MAX(0,VALUE(설정!$B$7)))</f>
        <v>0</v>
      </c>
    </row>
    <row r="35" spans="1:11">
      <c r="D35" s="1" t="s">
        <v>32</v>
      </c>
      <c r="F35" s="2">
        <f>IF(설정!$B$6&lt;&gt;"아니오",0,COUNTIFS($B$2:$B$31,"휴일",$C$2:$C$31,"&lt;&gt;"))</f>
        <v>0</v>
      </c>
      <c r="H35" s="6">
        <f>SUM(G2:H31)</f>
        <v>0</v>
      </c>
    </row>
    <row r="36" spans="1:11">
      <c r="F36"/>
    </row>
  </sheetData>
  <phoneticPr fontId="1" type="noConversion"/>
  <conditionalFormatting sqref="A2:A31">
    <cfRule type="expression" dxfId="3" priority="1">
      <formula>AND($A2&lt;&gt;"",$B2="휴일")</formula>
    </cfRule>
  </conditionalFormatting>
  <dataValidations count="1">
    <dataValidation type="list" allowBlank="1" showInputMessage="1" showErrorMessage="1" sqref="B2:B31" xr:uid="{4CBCE293-E9B7-46B6-ACB7-2C068A5657F4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M37"/>
  <sheetViews>
    <sheetView workbookViewId="0">
      <selection activeCell="C2" sqref="C2:D2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</row>
    <row r="2" spans="1:12" ht="17.25" thickTop="1">
      <c r="A2" s="10" t="str">
        <f>IF(ROW(A2)-1&gt;DAY(EOMONTH(DATE(VALUE(설정!$B$1),10,1),0)),"",TEXT(DATE(VALUE(설정!$B$1),10,ROW(A2)-1),"mm""월 ""dd""일"""))</f>
        <v>10월 01일</v>
      </c>
      <c r="B2" s="10" t="s">
        <v>43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M2" s="20"/>
    </row>
    <row r="3" spans="1:12">
      <c r="A3" s="10" t="str">
        <f>IF(ROW(A3)-1&gt;DAY(EOMONTH(DATE(VALUE(설정!$B$1),10,1),0)),"",TEXT(DATE(VALUE(설정!$B$1),10,ROW(A3)-1),"mm""월 ""dd""일"""))</f>
        <v>10월 02일</v>
      </c>
      <c r="B3" s="10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2" si="0">IF($B3="휴일",0,IF(ISBLANK(D3),0,IF(D3&gt;=TIME(19,1,0),1,0)))</f>
        <v>0</v>
      </c>
      <c r="J3" s="37"/>
      <c r="K3" s="35"/>
      <c r="M3" s="20"/>
    </row>
    <row r="4" spans="1:12">
      <c r="A4" s="10" t="str">
        <f>IF(ROW(A4)-1&gt;DAY(EOMONTH(DATE(VALUE(설정!$B$1),10,1),0)),"",TEXT(DATE(VALUE(설정!$B$1),10,ROW(A4)-1),"mm""월 ""dd""일"""))</f>
        <v>10월 03일</v>
      </c>
      <c r="B4" s="57" t="s">
        <v>42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J4" s="49"/>
      <c r="K4" s="33"/>
      <c r="L4" s="35"/>
      <c r="M4" s="23"/>
    </row>
    <row r="5" spans="1:12">
      <c r="A5" s="10" t="str">
        <f>IF(ROW(A5)-1&gt;DAY(EOMONTH(DATE(VALUE(설정!$B$1),10,1),0)),"",TEXT(DATE(VALUE(설정!$B$1),10,ROW(A5)-1),"mm""월 ""dd""일"""))</f>
        <v>10월 04일</v>
      </c>
      <c r="B5" s="57" t="s">
        <v>42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J5" s="49"/>
      <c r="K5" s="33"/>
      <c r="L5" s="35"/>
      <c r="M5" s="23"/>
    </row>
    <row r="6" spans="1:12">
      <c r="A6" s="10" t="str">
        <f>IF(ROW(A6)-1&gt;DAY(EOMONTH(DATE(VALUE(설정!$B$1),10,1),0)),"",TEXT(DATE(VALUE(설정!$B$1),10,ROW(A6)-1),"mm""월 ""dd""일"""))</f>
        <v>10월 05일</v>
      </c>
      <c r="B6" s="57" t="s">
        <v>41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J6" s="6" t="s">
        <v>66</v>
      </c>
      <c r="K6" s="33"/>
      <c r="L6" s="35"/>
      <c r="M6" s="23"/>
    </row>
    <row r="7" spans="1:12">
      <c r="A7" s="10" t="str">
        <f>IF(ROW(A7)-1&gt;DAY(EOMONTH(DATE(VALUE(설정!$B$1),10,1),0)),"",TEXT(DATE(VALUE(설정!$B$1),10,ROW(A7)-1),"mm""월 ""dd""일"""))</f>
        <v>10월 06일</v>
      </c>
      <c r="B7" s="10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J7" s="6"/>
      <c r="K7" s="33"/>
      <c r="L7" s="35"/>
      <c r="M7" s="23"/>
    </row>
    <row r="8" spans="1:12">
      <c r="A8" s="10" t="str">
        <f>IF(ROW(A8)-1&gt;DAY(EOMONTH(DATE(VALUE(설정!$B$1),10,1),0)),"",TEXT(DATE(VALUE(설정!$B$1),10,ROW(A8)-1),"mm""월 ""dd""일"""))</f>
        <v>10월 07일</v>
      </c>
      <c r="B8" s="10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J8" s="49"/>
      <c r="K8" s="33"/>
      <c r="L8" s="35"/>
      <c r="M8" s="23"/>
    </row>
    <row r="9" spans="1:12">
      <c r="A9" s="10" t="str">
        <f>IF(ROW(A9)-1&gt;DAY(EOMONTH(DATE(VALUE(설정!$B$1),10,1),0)),"",TEXT(DATE(VALUE(설정!$B$1),10,ROW(A9)-1),"mm""월 ""dd""일"""))</f>
        <v>10월 08일</v>
      </c>
      <c r="B9" s="10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J9" s="49"/>
      <c r="K9" s="33"/>
      <c r="L9" s="35"/>
      <c r="M9" s="23"/>
    </row>
    <row r="10" spans="1:12">
      <c r="A10" s="10" t="str">
        <f>IF(ROW(A10)-1&gt;DAY(EOMONTH(DATE(VALUE(설정!$B$1),10,1),0)),"",TEXT(DATE(VALUE(설정!$B$1),10,ROW(A10)-1),"mm""월 ""dd""일"""))</f>
        <v>10월 09일</v>
      </c>
      <c r="B10" s="57" t="s">
        <v>41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J10" s="49" t="s">
        <v>70</v>
      </c>
      <c r="K10" s="33"/>
      <c r="L10" s="35"/>
      <c r="M10" s="23"/>
    </row>
    <row r="11" spans="1:12">
      <c r="A11" s="10" t="str">
        <f>IF(ROW(A11)-1&gt;DAY(EOMONTH(DATE(VALUE(설정!$B$1),10,1),0)),"",TEXT(DATE(VALUE(설정!$B$1),10,ROW(A11)-1),"mm""월 ""dd""일"""))</f>
        <v>10월 10일</v>
      </c>
      <c r="B11" s="57" t="s">
        <v>42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J11" s="6"/>
      <c r="K11" s="33"/>
      <c r="L11" s="35"/>
      <c r="M11" s="23"/>
    </row>
    <row r="12" spans="1:12">
      <c r="A12" s="10" t="str">
        <f>IF(ROW(A12)-1&gt;DAY(EOMONTH(DATE(VALUE(설정!$B$1),10,1),0)),"",TEXT(DATE(VALUE(설정!$B$1),10,ROW(A12)-1),"mm""월 ""dd""일"""))</f>
        <v>10월 11일</v>
      </c>
      <c r="B12" s="57" t="s">
        <v>42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J12" s="6"/>
      <c r="K12" s="33"/>
      <c r="L12" s="35"/>
      <c r="M12" s="23"/>
    </row>
    <row r="13" spans="1:12">
      <c r="A13" s="10" t="str">
        <f>IF(ROW(A13)-1&gt;DAY(EOMONTH(DATE(VALUE(설정!$B$1),10,1),0)),"",TEXT(DATE(VALUE(설정!$B$1),10,ROW(A13)-1),"mm""월 ""dd""일"""))</f>
        <v>10월 12일</v>
      </c>
      <c r="B13" s="10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J13" s="6"/>
      <c r="K13" s="33"/>
      <c r="L13" s="35"/>
      <c r="M13" s="23"/>
    </row>
    <row r="14" spans="1:12">
      <c r="A14" s="10" t="str">
        <f>IF(ROW(A14)-1&gt;DAY(EOMONTH(DATE(VALUE(설정!$B$1),10,1),0)),"",TEXT(DATE(VALUE(설정!$B$1),10,ROW(A14)-1),"mm""월 ""dd""일"""))</f>
        <v>10월 13일</v>
      </c>
      <c r="B14" s="10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J14" s="6"/>
      <c r="K14" s="33"/>
      <c r="L14" s="35"/>
      <c r="M14" s="23"/>
    </row>
    <row r="15" spans="1:12">
      <c r="A15" s="10" t="str">
        <f>IF(ROW(A15)-1&gt;DAY(EOMONTH(DATE(VALUE(설정!$B$1),10,1),0)),"",TEXT(DATE(VALUE(설정!$B$1),10,ROW(A15)-1),"mm""월 ""dd""일"""))</f>
        <v>10월 14일</v>
      </c>
      <c r="B15" s="10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J15" s="6"/>
      <c r="K15" s="33"/>
      <c r="L15" s="35"/>
      <c r="M15" s="23"/>
    </row>
    <row r="16" spans="1:12">
      <c r="A16" s="10" t="str">
        <f>IF(ROW(A16)-1&gt;DAY(EOMONTH(DATE(VALUE(설정!$B$1),10,1),0)),"",TEXT(DATE(VALUE(설정!$B$1),10,ROW(A16)-1),"mm""월 ""dd""일"""))</f>
        <v>10월 15일</v>
      </c>
      <c r="B16" s="10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J16" s="6"/>
      <c r="K16" s="33"/>
      <c r="L16" s="35"/>
      <c r="M16" s="23"/>
    </row>
    <row r="17" spans="1:11">
      <c r="A17" s="10" t="str">
        <f>IF(ROW(A17)-1&gt;DAY(EOMONTH(DATE(VALUE(설정!$B$1),10,1),0)),"",TEXT(DATE(VALUE(설정!$B$1),10,ROW(A17)-1),"mm""월 ""dd""일"""))</f>
        <v>10월 16일</v>
      </c>
      <c r="B17" s="10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J17" s="6"/>
      <c r="K17" s="33"/>
      <c r="L17" s="35"/>
      <c r="M17" s="23"/>
    </row>
    <row r="18" spans="1:11">
      <c r="A18" s="10" t="str">
        <f>IF(ROW(A18)-1&gt;DAY(EOMONTH(DATE(VALUE(설정!$B$1),10,1),0)),"",TEXT(DATE(VALUE(설정!$B$1),10,ROW(A18)-1),"mm""월 ""dd""일"""))</f>
        <v>10월 17일</v>
      </c>
      <c r="B18" s="57" t="s">
        <v>42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J18" s="6"/>
      <c r="K18" s="33"/>
      <c r="L18" s="35"/>
      <c r="M18" s="23"/>
    </row>
    <row r="19" spans="1:11">
      <c r="A19" s="10" t="str">
        <f>IF(ROW(A19)-1&gt;DAY(EOMONTH(DATE(VALUE(설정!$B$1),10,1),0)),"",TEXT(DATE(VALUE(설정!$B$1),10,ROW(A19)-1),"mm""월 ""dd""일"""))</f>
        <v>10월 18일</v>
      </c>
      <c r="B19" s="57" t="s">
        <v>42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J19" s="49"/>
      <c r="K19" s="33"/>
      <c r="L19" s="35"/>
      <c r="M19" s="23"/>
    </row>
    <row r="20" spans="1:11">
      <c r="A20" s="10" t="str">
        <f>IF(ROW(A20)-1&gt;DAY(EOMONTH(DATE(VALUE(설정!$B$1),10,1),0)),"",TEXT(DATE(VALUE(설정!$B$1),10,ROW(A20)-1),"mm""월 ""dd""일"""))</f>
        <v>10월 19일</v>
      </c>
      <c r="B20" s="10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J20" s="49"/>
      <c r="K20" s="33"/>
      <c r="L20" s="35"/>
      <c r="M20" s="23"/>
    </row>
    <row r="21" spans="1:11">
      <c r="A21" s="10" t="str">
        <f>IF(ROW(A21)-1&gt;DAY(EOMONTH(DATE(VALUE(설정!$B$1),10,1),0)),"",TEXT(DATE(VALUE(설정!$B$1),10,ROW(A21)-1),"mm""월 ""dd""일"""))</f>
        <v>10월 20일</v>
      </c>
      <c r="B21" s="10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J21" s="6"/>
      <c r="K21" s="33"/>
      <c r="L21" s="35"/>
      <c r="M21" s="23"/>
    </row>
    <row r="22" spans="1:11">
      <c r="A22" s="10" t="str">
        <f>IF(ROW(A22)-1&gt;DAY(EOMONTH(DATE(VALUE(설정!$B$1),10,1),0)),"",TEXT(DATE(VALUE(설정!$B$1),10,ROW(A22)-1),"mm""월 ""dd""일"""))</f>
        <v>10월 21일</v>
      </c>
      <c r="B22" s="10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J22" s="6"/>
      <c r="K22" s="33"/>
      <c r="L22" s="35"/>
      <c r="M22" s="23"/>
    </row>
    <row r="23" spans="1:11">
      <c r="A23" s="10" t="str">
        <f>IF(ROW(A23)-1&gt;DAY(EOMONTH(DATE(VALUE(설정!$B$1),10,1),0)),"",TEXT(DATE(VALUE(설정!$B$1),10,ROW(A23)-1),"mm""월 ""dd""일"""))</f>
        <v>10월 22일</v>
      </c>
      <c r="B23" s="10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J23" s="6"/>
      <c r="K23" s="33"/>
      <c r="L23" s="35"/>
      <c r="M23" s="23"/>
    </row>
    <row r="24" spans="1:11">
      <c r="A24" s="10" t="str">
        <f>IF(ROW(A24)-1&gt;DAY(EOMONTH(DATE(VALUE(설정!$B$1),10,1),0)),"",TEXT(DATE(VALUE(설정!$B$1),10,ROW(A24)-1),"mm""월 ""dd""일"""))</f>
        <v>10월 23일</v>
      </c>
      <c r="B24" s="10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J24" s="6"/>
      <c r="K24" s="33"/>
      <c r="L24" s="35"/>
      <c r="M24" s="23"/>
    </row>
    <row r="25" spans="1:11">
      <c r="A25" s="10" t="str">
        <f>IF(ROW(A25)-1&gt;DAY(EOMONTH(DATE(VALUE(설정!$B$1),10,1),0)),"",TEXT(DATE(VALUE(설정!$B$1),10,ROW(A25)-1),"mm""월 ""dd""일"""))</f>
        <v>10월 24일</v>
      </c>
      <c r="B25" s="57" t="s">
        <v>42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J25" s="6"/>
      <c r="K25" s="33"/>
      <c r="L25" s="35"/>
      <c r="M25" s="23"/>
    </row>
    <row r="26" spans="1:11">
      <c r="A26" s="10" t="str">
        <f>IF(ROW(A26)-1&gt;DAY(EOMONTH(DATE(VALUE(설정!$B$1),10,1),0)),"",TEXT(DATE(VALUE(설정!$B$1),10,ROW(A26)-1),"mm""월 ""dd""일"""))</f>
        <v>10월 25일</v>
      </c>
      <c r="B26" s="57" t="s">
        <v>42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J26" s="6"/>
      <c r="K26" s="33"/>
      <c r="L26" s="35"/>
      <c r="M26" s="23"/>
    </row>
    <row r="27" spans="1:11">
      <c r="A27" s="10" t="str">
        <f>IF(ROW(A27)-1&gt;DAY(EOMONTH(DATE(VALUE(설정!$B$1),10,1),0)),"",TEXT(DATE(VALUE(설정!$B$1),10,ROW(A27)-1),"mm""월 ""dd""일"""))</f>
        <v>10월 26일</v>
      </c>
      <c r="B27" s="10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J27" s="6"/>
      <c r="K27" s="33"/>
      <c r="L27" s="35"/>
      <c r="M27" s="23"/>
    </row>
    <row r="28" spans="1:11">
      <c r="A28" s="10" t="str">
        <f>IF(ROW(A28)-1&gt;DAY(EOMONTH(DATE(VALUE(설정!$B$1),10,1),0)),"",TEXT(DATE(VALUE(설정!$B$1),10,ROW(A28)-1),"mm""월 ""dd""일"""))</f>
        <v>10월 27일</v>
      </c>
      <c r="B28" s="10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J28" s="6"/>
      <c r="K28" s="33"/>
      <c r="L28" s="35"/>
      <c r="M28" s="23"/>
    </row>
    <row r="29" spans="1:11">
      <c r="A29" s="10" t="str">
        <f>IF(ROW(A29)-1&gt;DAY(EOMONTH(DATE(VALUE(설정!$B$1),10,1),0)),"",TEXT(DATE(VALUE(설정!$B$1),10,ROW(A29)-1),"mm""월 ""dd""일"""))</f>
        <v>10월 28일</v>
      </c>
      <c r="B29" s="10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J29" s="6"/>
      <c r="K29" s="33"/>
      <c r="L29" s="35"/>
      <c r="M29" s="23"/>
    </row>
    <row r="30" spans="1:11">
      <c r="A30" s="10" t="str">
        <f>IF(ROW(A30)-1&gt;DAY(EOMONTH(DATE(VALUE(설정!$B$1),10,1),0)),"",TEXT(DATE(VALUE(설정!$B$1),10,ROW(A30)-1),"mm""월 ""dd""일"""))</f>
        <v>10월 29일</v>
      </c>
      <c r="B30" s="10" t="s">
        <v>43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J30" s="6"/>
      <c r="K30" s="33"/>
      <c r="L30" s="35"/>
      <c r="M30" s="23"/>
    </row>
    <row r="31" spans="1:11">
      <c r="A31" s="10" t="str">
        <f>IF(ROW(A31)-1&gt;DAY(EOMONTH(DATE(VALUE(설정!$B$1),10,1),0)),"",TEXT(DATE(VALUE(설정!$B$1),10,ROW(A31)-1),"mm""월 ""dd""일"""))</f>
        <v>10월 30일</v>
      </c>
      <c r="B31" s="10" t="s">
        <v>43</v>
      </c>
      <c r="C31" s="19"/>
      <c r="D31" s="1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J31" s="6"/>
      <c r="K31" s="33"/>
      <c r="L31" s="35"/>
      <c r="M31" s="23"/>
    </row>
    <row r="32" spans="1:11">
      <c r="A32" s="10" t="str">
        <f>IF(ROW(A32)-1&gt;DAY(EOMONTH(DATE(VALUE(설정!$B$1),10,1),0)),"",TEXT(DATE(VALUE(설정!$B$1),10,ROW(A32)-1),"mm""월 ""dd""일"""))</f>
        <v>10월 31일</v>
      </c>
      <c r="B32" s="57" t="s">
        <v>42</v>
      </c>
      <c r="C32" s="19"/>
      <c r="D32" s="19"/>
      <c r="E32" s="19">
        <f>IF($A32="",0,IF($B32="평일",TIME(1,0,0),0))</f>
        <v/>
      </c>
      <c r="F32" s="19">
        <f>IF(OR($C32="",$D32=""),0,IF(AND($B32="휴일",설정!$B$6="예"),MIN(MAX(0,VALUE(설정!$B$2))/24,MAX(0,(MIN(IF(VALUE(설정!$B$2)=4,IF(AND($D32&gt;TIME(18,0,0),$D32&lt;TIME(19,1,0)),TIME(18,0,0),$D32),$D32),설정!$B$5)-MAX(IF(VALUE(설정!$B$2)=4,IF(AND($C32&gt;=TIME(8,0,0),$C32&lt;TIME(9,0,0)),TIME(9,0,0),$C32),$C32),설정!$B$4))-$E32)),IF($B32="평일",MIN(MAX(0,VALUE(설정!$B$2))/24,MAX(0,(MIN(IF(VALUE(설정!$B$2)=4,IF(AND($D32&gt;TIME(18,0,0),$D32&lt;TIME(19,1,0)),TIME(18,0,0),$D32),$D32),설정!$B$5)-MAX(IF(VALUE(설정!$B$2)=4,IF(AND($C32&gt;=TIME(8,0,0),$C32&lt;TIME(9,0,0)),TIME(9,0,0),$C32),$C32),설정!$B$4))-TIME(9,0,0)-$E32)),0)))</f>
        <v/>
      </c>
      <c r="G32" s="8">
        <f>IF($B32="휴일",IF(설정!$B$6="예",IF(ROUND($F32*86400,0)&gt;=3660,1,0),0),IF(ISBLANK(C32),0,IF(C32&lt;=TIME(7,59,59),1,0)))</f>
        <v>0</v>
      </c>
      <c r="H32" s="8">
        <f t="shared" si="0"/>
        <v>0</v>
      </c>
      <c r="J32" s="6"/>
      <c r="K32" s="33"/>
      <c r="L32" s="35"/>
      <c r="M32" s="23"/>
    </row>
    <row r="33" spans="1:11">
      <c r="A33" s="6"/>
      <c r="B33" s="55"/>
      <c r="C33" s="5"/>
      <c r="D33" s="11" t="s">
        <v>5</v>
      </c>
      <c r="G33" s="13">
        <f>SUM(F2:F32)</f>
        <v>0</v>
      </c>
      <c r="G33" s="6" t="s">
        <v>7</v>
      </c>
      <c r="H33" s="14">
        <f>MIN(SUM(G2:H32),MAX(0,VALUE(설정!$B$7)))</f>
        <v>0</v>
      </c>
      <c r="L33" s="23"/>
    </row>
    <row r="34" spans="1:11">
      <c r="A34" s="6"/>
      <c r="B34" s="55"/>
      <c r="C34" s="6"/>
      <c r="D34" s="1" t="s">
        <v>6</v>
      </c>
      <c r="F34" s="12">
        <f>MAX(0, ((설정!$B$3*60) - (F33*1440)) / 1440)</f>
        <v>2.0416666666666665</v>
      </c>
      <c r="G34" s="1" t="s">
        <v>6</v>
      </c>
      <c r="H34" s="7">
        <f>MAX(0,MAX(0,VALUE(설정!$B$7))-H33)</f>
        <v>20</v>
      </c>
      <c r="I34" s="6"/>
      <c r="L34" s="23"/>
    </row>
    <row r="35" spans="1:11">
      <c r="D35" s="2" t="s">
        <v>8</v>
      </c>
      <c r="F35" s="12">
        <f>IF(SUM(F2:F32)&gt;(설정!$B$3/24), (SUM(F2:F32)-(설정!$B$3/24)), 0)</f>
        <v>0</v>
      </c>
      <c r="G35" s="2" t="s">
        <v>8</v>
      </c>
      <c r="H35" s="18">
        <f>MAX(0,SUM(G2:H32)-MAX(0,VALUE(설정!$B$7)))</f>
        <v>0</v>
      </c>
    </row>
    <row r="36" spans="1:11">
      <c r="D36" s="1" t="s">
        <v>32</v>
      </c>
      <c r="F36" s="2">
        <f>IF(설정!$B$6&lt;&gt;"아니오",0,COUNTIFS($B$2:$B$32,"휴일",$C$2:$C$32,"&lt;&gt;"))</f>
        <v>0</v>
      </c>
      <c r="H36" s="6">
        <f>SUM(G2:H32)</f>
        <v>0</v>
      </c>
    </row>
    <row r="37" spans="1:11">
      <c r="F37"/>
    </row>
  </sheetData>
  <phoneticPr fontId="1" type="noConversion"/>
  <conditionalFormatting sqref="A2:A32">
    <cfRule type="expression" dxfId="2" priority="1">
      <formula>AND($A2&lt;&gt;"",$B2="휴일")</formula>
    </cfRule>
  </conditionalFormatting>
  <dataValidations count="1">
    <dataValidation type="list" allowBlank="1" showInputMessage="1" showErrorMessage="1" sqref="B2:B32" xr:uid="{C7FEC3EA-AD08-4995-9F87-1D9F307864ED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M36"/>
  <sheetViews>
    <sheetView workbookViewId="0">
      <selection activeCell="C3" sqref="C3:D3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</row>
    <row r="2" spans="1:12" ht="17.25" thickTop="1">
      <c r="A2" s="10" t="str">
        <f>IF(ROW(A2)-1&gt;DAY(EOMONTH(DATE(VALUE(설정!$B$1),11,1),0)),"",TEXT(DATE(VALUE(설정!$B$1),11,ROW(A2)-1),"mm""월 ""dd""일"""))</f>
        <v>11월 01일</v>
      </c>
      <c r="B2" s="10" t="s">
        <v>42</v>
      </c>
      <c r="C2" s="9"/>
      <c r="D2" s="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M2" s="20"/>
    </row>
    <row r="3" spans="1:12">
      <c r="A3" s="10" t="str">
        <f>IF(ROW(A3)-1&gt;DAY(EOMONTH(DATE(VALUE(설정!$B$1),11,1),0)),"",TEXT(DATE(VALUE(설정!$B$1),11,ROW(A3)-1),"mm""월 ""dd""일"""))</f>
        <v>11월 02일</v>
      </c>
      <c r="B3" s="57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1" si="0">IF($B3="휴일",0,IF(ISBLANK(D3),0,IF(D3&gt;=TIME(19,1,0),1,0)))</f>
        <v>0</v>
      </c>
      <c r="J3" s="37"/>
      <c r="K3" s="54"/>
      <c r="M3" s="20"/>
    </row>
    <row r="4" spans="1:12">
      <c r="A4" s="10" t="str">
        <f>IF(ROW(A4)-1&gt;DAY(EOMONTH(DATE(VALUE(설정!$B$1),11,1),0)),"",TEXT(DATE(VALUE(설정!$B$1),11,ROW(A4)-1),"mm""월 ""dd""일"""))</f>
        <v>11월 03일</v>
      </c>
      <c r="B4" s="57" t="s">
        <v>43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J4" s="6"/>
      <c r="K4" s="33"/>
      <c r="L4" s="35"/>
      <c r="M4" s="23"/>
    </row>
    <row r="5" spans="1:12">
      <c r="A5" s="10" t="str">
        <f>IF(ROW(A5)-1&gt;DAY(EOMONTH(DATE(VALUE(설정!$B$1),11,1),0)),"",TEXT(DATE(VALUE(설정!$B$1),11,ROW(A5)-1),"mm""월 ""dd""일"""))</f>
        <v>11월 04일</v>
      </c>
      <c r="B5" s="57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J5" s="6"/>
      <c r="K5" s="33"/>
      <c r="L5" s="35"/>
      <c r="M5" s="23"/>
    </row>
    <row r="6" spans="1:12">
      <c r="A6" s="10" t="str">
        <f>IF(ROW(A6)-1&gt;DAY(EOMONTH(DATE(VALUE(설정!$B$1),11,1),0)),"",TEXT(DATE(VALUE(설정!$B$1),11,ROW(A6)-1),"mm""월 ""dd""일"""))</f>
        <v>11월 05일</v>
      </c>
      <c r="B6" s="57" t="s">
        <v>43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J6" s="6"/>
      <c r="K6" s="33"/>
      <c r="L6" s="35"/>
      <c r="M6" s="23"/>
    </row>
    <row r="7" spans="1:12">
      <c r="A7" s="10" t="str">
        <f>IF(ROW(A7)-1&gt;DAY(EOMONTH(DATE(VALUE(설정!$B$1),11,1),0)),"",TEXT(DATE(VALUE(설정!$B$1),11,ROW(A7)-1),"mm""월 ""dd""일"""))</f>
        <v>11월 06일</v>
      </c>
      <c r="B7" s="57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J7" s="6"/>
      <c r="K7" s="33"/>
      <c r="L7" s="35"/>
      <c r="M7" s="23"/>
    </row>
    <row r="8" spans="1:12">
      <c r="A8" s="10" t="str">
        <f>IF(ROW(A8)-1&gt;DAY(EOMONTH(DATE(VALUE(설정!$B$1),11,1),0)),"",TEXT(DATE(VALUE(설정!$B$1),11,ROW(A8)-1),"mm""월 ""dd""일"""))</f>
        <v>11월 07일</v>
      </c>
      <c r="B8" s="10" t="s">
        <v>42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J8" s="6"/>
      <c r="K8" s="33"/>
      <c r="L8" s="35"/>
      <c r="M8" s="23"/>
    </row>
    <row r="9" spans="1:12">
      <c r="A9" s="10" t="str">
        <f>IF(ROW(A9)-1&gt;DAY(EOMONTH(DATE(VALUE(설정!$B$1),11,1),0)),"",TEXT(DATE(VALUE(설정!$B$1),11,ROW(A9)-1),"mm""월 ""dd""일"""))</f>
        <v>11월 08일</v>
      </c>
      <c r="B9" s="10" t="s">
        <v>42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J9" s="6"/>
      <c r="K9" s="33"/>
      <c r="L9" s="35"/>
      <c r="M9" s="23"/>
    </row>
    <row r="10" spans="1:12">
      <c r="A10" s="10" t="str">
        <f>IF(ROW(A10)-1&gt;DAY(EOMONTH(DATE(VALUE(설정!$B$1),11,1),0)),"",TEXT(DATE(VALUE(설정!$B$1),11,ROW(A10)-1),"mm""월 ""dd""일"""))</f>
        <v>11월 09일</v>
      </c>
      <c r="B10" s="57" t="s">
        <v>43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J10" s="6"/>
      <c r="K10" s="33"/>
      <c r="L10" s="35"/>
      <c r="M10" s="23"/>
    </row>
    <row r="11" spans="1:12">
      <c r="A11" s="10" t="str">
        <f>IF(ROW(A11)-1&gt;DAY(EOMONTH(DATE(VALUE(설정!$B$1),11,1),0)),"",TEXT(DATE(VALUE(설정!$B$1),11,ROW(A11)-1),"mm""월 ""dd""일"""))</f>
        <v>11월 10일</v>
      </c>
      <c r="B11" s="57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J11" s="6"/>
      <c r="K11" s="33"/>
      <c r="L11" s="35"/>
      <c r="M11" s="23"/>
    </row>
    <row r="12" spans="1:12">
      <c r="A12" s="10" t="str">
        <f>IF(ROW(A12)-1&gt;DAY(EOMONTH(DATE(VALUE(설정!$B$1),11,1),0)),"",TEXT(DATE(VALUE(설정!$B$1),11,ROW(A12)-1),"mm""월 ""dd""일"""))</f>
        <v>11월 11일</v>
      </c>
      <c r="B12" s="57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J12" s="6"/>
      <c r="K12" s="33"/>
      <c r="L12" s="35"/>
      <c r="M12" s="23"/>
    </row>
    <row r="13" spans="1:12">
      <c r="A13" s="10" t="str">
        <f>IF(ROW(A13)-1&gt;DAY(EOMONTH(DATE(VALUE(설정!$B$1),11,1),0)),"",TEXT(DATE(VALUE(설정!$B$1),11,ROW(A13)-1),"mm""월 ""dd""일"""))</f>
        <v>11월 12일</v>
      </c>
      <c r="B13" s="57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J13" s="6"/>
      <c r="K13" s="33"/>
      <c r="L13" s="35"/>
      <c r="M13" s="23"/>
    </row>
    <row r="14" spans="1:12">
      <c r="A14" s="10" t="str">
        <f>IF(ROW(A14)-1&gt;DAY(EOMONTH(DATE(VALUE(설정!$B$1),11,1),0)),"",TEXT(DATE(VALUE(설정!$B$1),11,ROW(A14)-1),"mm""월 ""dd""일"""))</f>
        <v>11월 13일</v>
      </c>
      <c r="B14" s="57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J14" s="6"/>
      <c r="K14" s="33"/>
      <c r="L14" s="35"/>
      <c r="M14" s="23"/>
    </row>
    <row r="15" spans="1:12">
      <c r="A15" s="10" t="str">
        <f>IF(ROW(A15)-1&gt;DAY(EOMONTH(DATE(VALUE(설정!$B$1),11,1),0)),"",TEXT(DATE(VALUE(설정!$B$1),11,ROW(A15)-1),"mm""월 ""dd""일"""))</f>
        <v>11월 14일</v>
      </c>
      <c r="B15" s="10" t="s">
        <v>42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J15" s="6"/>
      <c r="K15" s="33"/>
      <c r="L15" s="35"/>
      <c r="M15" s="23"/>
    </row>
    <row r="16" spans="1:12">
      <c r="A16" s="10" t="str">
        <f>IF(ROW(A16)-1&gt;DAY(EOMONTH(DATE(VALUE(설정!$B$1),11,1),0)),"",TEXT(DATE(VALUE(설정!$B$1),11,ROW(A16)-1),"mm""월 ""dd""일"""))</f>
        <v>11월 15일</v>
      </c>
      <c r="B16" s="10" t="s">
        <v>42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J16" s="50"/>
      <c r="K16" s="33"/>
      <c r="L16" s="35"/>
      <c r="M16" s="23"/>
    </row>
    <row r="17" spans="1:11">
      <c r="A17" s="10" t="str">
        <f>IF(ROW(A17)-1&gt;DAY(EOMONTH(DATE(VALUE(설정!$B$1),11,1),0)),"",TEXT(DATE(VALUE(설정!$B$1),11,ROW(A17)-1),"mm""월 ""dd""일"""))</f>
        <v>11월 16일</v>
      </c>
      <c r="B17" s="57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J17" s="50"/>
      <c r="K17" s="33"/>
      <c r="L17" s="35"/>
      <c r="M17" s="23"/>
    </row>
    <row r="18" spans="1:11">
      <c r="A18" s="10" t="str">
        <f>IF(ROW(A18)-1&gt;DAY(EOMONTH(DATE(VALUE(설정!$B$1),11,1),0)),"",TEXT(DATE(VALUE(설정!$B$1),11,ROW(A18)-1),"mm""월 ""dd""일"""))</f>
        <v>11월 17일</v>
      </c>
      <c r="B18" s="57" t="s">
        <v>43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J18" s="6"/>
      <c r="K18" s="33"/>
      <c r="L18" s="35"/>
      <c r="M18" s="23"/>
    </row>
    <row r="19" spans="1:11">
      <c r="A19" s="10" t="str">
        <f>IF(ROW(A19)-1&gt;DAY(EOMONTH(DATE(VALUE(설정!$B$1),11,1),0)),"",TEXT(DATE(VALUE(설정!$B$1),11,ROW(A19)-1),"mm""월 ""dd""일"""))</f>
        <v>11월 18일</v>
      </c>
      <c r="B19" s="57" t="s">
        <v>43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J19" s="6"/>
      <c r="K19" s="33"/>
      <c r="L19" s="35"/>
      <c r="M19" s="23"/>
    </row>
    <row r="20" spans="1:11">
      <c r="A20" s="10" t="str">
        <f>IF(ROW(A20)-1&gt;DAY(EOMONTH(DATE(VALUE(설정!$B$1),11,1),0)),"",TEXT(DATE(VALUE(설정!$B$1),11,ROW(A20)-1),"mm""월 ""dd""일"""))</f>
        <v>11월 19일</v>
      </c>
      <c r="B20" s="57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J20" s="6"/>
      <c r="K20" s="33"/>
      <c r="L20" s="35"/>
      <c r="M20" s="23"/>
    </row>
    <row r="21" spans="1:11">
      <c r="A21" s="10" t="str">
        <f>IF(ROW(A21)-1&gt;DAY(EOMONTH(DATE(VALUE(설정!$B$1),11,1),0)),"",TEXT(DATE(VALUE(설정!$B$1),11,ROW(A21)-1),"mm""월 ""dd""일"""))</f>
        <v>11월 20일</v>
      </c>
      <c r="B21" s="57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J21" s="6"/>
      <c r="K21" s="33"/>
      <c r="L21" s="35"/>
      <c r="M21" s="23"/>
    </row>
    <row r="22" spans="1:11">
      <c r="A22" s="10" t="str">
        <f>IF(ROW(A22)-1&gt;DAY(EOMONTH(DATE(VALUE(설정!$B$1),11,1),0)),"",TEXT(DATE(VALUE(설정!$B$1),11,ROW(A22)-1),"mm""월 ""dd""일"""))</f>
        <v>11월 21일</v>
      </c>
      <c r="B22" s="10" t="s">
        <v>42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J22" s="6"/>
      <c r="K22" s="33"/>
      <c r="L22" s="35"/>
      <c r="M22" s="23"/>
    </row>
    <row r="23" spans="1:11">
      <c r="A23" s="10" t="str">
        <f>IF(ROW(A23)-1&gt;DAY(EOMONTH(DATE(VALUE(설정!$B$1),11,1),0)),"",TEXT(DATE(VALUE(설정!$B$1),11,ROW(A23)-1),"mm""월 ""dd""일"""))</f>
        <v>11월 22일</v>
      </c>
      <c r="B23" s="10" t="s">
        <v>42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J23" s="51"/>
      <c r="K23" s="33"/>
      <c r="L23" s="35"/>
      <c r="M23" s="23"/>
    </row>
    <row r="24" spans="1:11">
      <c r="A24" s="10" t="str">
        <f>IF(ROW(A24)-1&gt;DAY(EOMONTH(DATE(VALUE(설정!$B$1),11,1),0)),"",TEXT(DATE(VALUE(설정!$B$1),11,ROW(A24)-1),"mm""월 ""dd""일"""))</f>
        <v>11월 23일</v>
      </c>
      <c r="B24" s="57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J24" s="50"/>
      <c r="K24" s="33"/>
      <c r="L24" s="35"/>
      <c r="M24" s="23"/>
    </row>
    <row r="25" spans="1:11">
      <c r="A25" s="10" t="str">
        <f>IF(ROW(A25)-1&gt;DAY(EOMONTH(DATE(VALUE(설정!$B$1),11,1),0)),"",TEXT(DATE(VALUE(설정!$B$1),11,ROW(A25)-1),"mm""월 ""dd""일"""))</f>
        <v>11월 24일</v>
      </c>
      <c r="B25" s="57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J25" s="6"/>
      <c r="K25" s="33"/>
      <c r="L25" s="35"/>
      <c r="M25" s="23"/>
    </row>
    <row r="26" spans="1:11">
      <c r="A26" s="10" t="str">
        <f>IF(ROW(A26)-1&gt;DAY(EOMONTH(DATE(VALUE(설정!$B$1),11,1),0)),"",TEXT(DATE(VALUE(설정!$B$1),11,ROW(A26)-1),"mm""월 ""dd""일"""))</f>
        <v>11월 25일</v>
      </c>
      <c r="B26" s="57" t="s">
        <v>43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J26" s="6"/>
      <c r="K26" s="33"/>
      <c r="L26" s="35"/>
      <c r="M26" s="23"/>
    </row>
    <row r="27" spans="1:11">
      <c r="A27" s="10" t="str">
        <f>IF(ROW(A27)-1&gt;DAY(EOMONTH(DATE(VALUE(설정!$B$1),11,1),0)),"",TEXT(DATE(VALUE(설정!$B$1),11,ROW(A27)-1),"mm""월 ""dd""일"""))</f>
        <v>11월 26일</v>
      </c>
      <c r="B27" s="57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J27" s="6"/>
      <c r="K27" s="33"/>
      <c r="L27" s="35"/>
      <c r="M27" s="23"/>
    </row>
    <row r="28" spans="1:11">
      <c r="A28" s="10" t="str">
        <f>IF(ROW(A28)-1&gt;DAY(EOMONTH(DATE(VALUE(설정!$B$1),11,1),0)),"",TEXT(DATE(VALUE(설정!$B$1),11,ROW(A28)-1),"mm""월 ""dd""일"""))</f>
        <v>11월 27일</v>
      </c>
      <c r="B28" s="57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J28" s="6"/>
      <c r="K28" s="33"/>
      <c r="L28" s="35"/>
      <c r="M28" s="23"/>
    </row>
    <row r="29" spans="1:11">
      <c r="A29" s="10" t="str">
        <f>IF(ROW(A29)-1&gt;DAY(EOMONTH(DATE(VALUE(설정!$B$1),11,1),0)),"",TEXT(DATE(VALUE(설정!$B$1),11,ROW(A29)-1),"mm""월 ""dd""일"""))</f>
        <v>11월 28일</v>
      </c>
      <c r="B29" s="10" t="s">
        <v>42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J29" s="6"/>
      <c r="K29" s="33"/>
      <c r="L29" s="35"/>
      <c r="M29" s="23"/>
    </row>
    <row r="30" spans="1:11">
      <c r="A30" s="10" t="str">
        <f>IF(ROW(A30)-1&gt;DAY(EOMONTH(DATE(VALUE(설정!$B$1),11,1),0)),"",TEXT(DATE(VALUE(설정!$B$1),11,ROW(A30)-1),"mm""월 ""dd""일"""))</f>
        <v>11월 29일</v>
      </c>
      <c r="B30" s="10" t="s">
        <v>42</v>
      </c>
      <c r="C30" s="9"/>
      <c r="D30" s="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J30" s="50"/>
      <c r="K30" s="33"/>
      <c r="L30" s="35"/>
      <c r="M30" s="23"/>
    </row>
    <row r="31" spans="1:11">
      <c r="A31" s="10" t="str">
        <f>IF(ROW(A31)-1&gt;DAY(EOMONTH(DATE(VALUE(설정!$B$1),11,1),0)),"",TEXT(DATE(VALUE(설정!$B$1),11,ROW(A31)-1),"mm""월 ""dd""일"""))</f>
        <v>11월 30일</v>
      </c>
      <c r="B31" s="57" t="s">
        <v>43</v>
      </c>
      <c r="C31" s="9"/>
      <c r="D31" s="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J31" s="50"/>
      <c r="K31" s="33"/>
      <c r="L31" s="35"/>
      <c r="M31" s="23"/>
    </row>
    <row r="32" spans="1:11">
      <c r="A32" s="6"/>
      <c r="B32" s="55"/>
      <c r="C32" s="5"/>
      <c r="D32" s="11" t="s">
        <v>5</v>
      </c>
      <c r="G32" s="13">
        <f>SUM(F2:F31)</f>
        <v>0</v>
      </c>
      <c r="G32" s="6" t="s">
        <v>7</v>
      </c>
      <c r="H32" s="14">
        <f>MIN(SUM(G2:H31),MAX(0,VALUE(설정!$B$7)))</f>
        <v>0</v>
      </c>
      <c r="L32" s="23"/>
    </row>
    <row r="33" spans="1:11">
      <c r="A33" s="6"/>
      <c r="B33" s="55"/>
      <c r="C33" s="6"/>
      <c r="D33" s="1" t="s">
        <v>6</v>
      </c>
      <c r="F33" s="12">
        <f>MAX(0, ((설정!$B$3*60) - (F32*1440)) / 1440)</f>
        <v>2.0416666666666665</v>
      </c>
      <c r="G33" s="1" t="s">
        <v>6</v>
      </c>
      <c r="H33" s="7">
        <f>MAX(0,MAX(0,VALUE(설정!$B$7))-H32)</f>
        <v>20</v>
      </c>
      <c r="I33" s="6"/>
      <c r="L33" s="23"/>
    </row>
    <row r="34" spans="1:11">
      <c r="D34" s="2" t="s">
        <v>8</v>
      </c>
      <c r="F34" s="12">
        <f>IF(SUM(F2:F31)&gt;(설정!$B$3/24), (SUM(F2:F31)-(설정!$B$3/24)), 0)</f>
        <v>0</v>
      </c>
      <c r="G34" s="2" t="s">
        <v>8</v>
      </c>
      <c r="H34" s="18">
        <f>MAX(0,SUM(G2:H31)-MAX(0,VALUE(설정!$B$7)))</f>
        <v>0</v>
      </c>
    </row>
    <row r="35" spans="1:11">
      <c r="D35" s="1" t="s">
        <v>32</v>
      </c>
      <c r="F35" s="2">
        <f>IF(설정!$B$6&lt;&gt;"아니오",0,COUNTIFS($B$2:$B$31,"휴일",$C$2:$C$31,"&lt;&gt;"))</f>
        <v>0</v>
      </c>
      <c r="H35" s="6">
        <f>SUM(G2:H31)</f>
        <v>0</v>
      </c>
    </row>
    <row r="36" spans="1:11">
      <c r="F36"/>
    </row>
  </sheetData>
  <phoneticPr fontId="1" type="noConversion"/>
  <conditionalFormatting sqref="A2:A31">
    <cfRule type="expression" dxfId="1" priority="1">
      <formula>AND($A2&lt;&gt;"",$B2="휴일")</formula>
    </cfRule>
  </conditionalFormatting>
  <dataValidations count="1">
    <dataValidation type="list" allowBlank="1" showInputMessage="1" showErrorMessage="1" sqref="B2:B31" xr:uid="{49BE91ED-3196-471E-9DC7-587D31366EE3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M37"/>
  <sheetViews>
    <sheetView workbookViewId="0">
      <selection activeCell="P21" sqref="P21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  <c r="L1" s="26" t="s">
        <v>83</v>
      </c>
      <c r="M1" s="15">
        <f>MAX(0,VALUE(설정!$B$8))</f>
        <v>177</v>
      </c>
    </row>
    <row r="2" spans="1:12" ht="17.25" thickTop="1">
      <c r="A2" s="10" t="str">
        <f>IF(ROW(A2)-1&gt;DAY(EOMONTH(DATE(VALUE(설정!$B$1),12,1),0)),"",TEXT(DATE(VALUE(설정!$B$1),12,ROW(A2)-1),"mm""월 ""dd""일"""))</f>
        <v>12월 01일</v>
      </c>
      <c r="B2" s="10" t="s">
        <v>43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L2" s="63" t="s">
        <v>92</v>
      </c>
      <c r="M2" s="70">
        <f>'10월'!$F$33</f>
        <v>0</v>
      </c>
    </row>
    <row r="3" spans="1:12">
      <c r="A3" s="10" t="str">
        <f>IF(ROW(A3)-1&gt;DAY(EOMONTH(DATE(VALUE(설정!$B$1),12,1),0)),"",TEXT(DATE(VALUE(설정!$B$1),12,ROW(A3)-1),"mm""월 ""dd""일"""))</f>
        <v>12월 02일</v>
      </c>
      <c r="B3" s="10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2" si="0">IF($B3="휴일",0,IF(ISBLANK(D3),0,IF(D3&gt;=TIME(19,1,0),1,0)))</f>
        <v>0</v>
      </c>
      <c r="J3" s="37"/>
      <c r="K3" s="35"/>
      <c r="L3" s="63" t="s">
        <v>93</v>
      </c>
      <c r="M3" s="70">
        <f>'11월'!$F$32</f>
        <v>0</v>
      </c>
    </row>
    <row r="4" spans="1:12">
      <c r="A4" s="10" t="str">
        <f>IF(ROW(A4)-1&gt;DAY(EOMONTH(DATE(VALUE(설정!$B$1),12,1),0)),"",TEXT(DATE(VALUE(설정!$B$1),12,ROW(A4)-1),"mm""월 ""dd""일"""))</f>
        <v>12월 03일</v>
      </c>
      <c r="B4" s="57" t="s">
        <v>43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J4" s="6"/>
      <c r="K4" s="33"/>
      <c r="L4" s="35"/>
      <c r="M4" s="63" t="s">
        <v>94</v>
      </c>
      <c r="N4" s="70">
        <f>'12월'!$F$33</f>
        <v>0</v>
      </c>
    </row>
    <row r="5" spans="1:12">
      <c r="A5" s="10" t="str">
        <f>IF(ROW(A5)-1&gt;DAY(EOMONTH(DATE(VALUE(설정!$B$1),12,1),0)),"",TEXT(DATE(VALUE(설정!$B$1),12,ROW(A5)-1),"mm""월 ""dd""일"""))</f>
        <v>12월 04일</v>
      </c>
      <c r="B5" s="57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J5" s="6"/>
      <c r="K5" s="33"/>
      <c r="L5" s="35"/>
      <c r="M5" s="64" t="s">
        <v>5</v>
      </c>
      <c r="N5" s="65">
        <f>SUM(M2:M4)</f>
        <v>0</v>
      </c>
    </row>
    <row r="6" spans="1:12">
      <c r="A6" s="10" t="str">
        <f>IF(ROW(A6)-1&gt;DAY(EOMONTH(DATE(VALUE(설정!$B$1),12,1),0)),"",TEXT(DATE(VALUE(설정!$B$1),12,ROW(A6)-1),"mm""월 ""dd""일"""))</f>
        <v>12월 05일</v>
      </c>
      <c r="B6" s="57" t="s">
        <v>42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J6" s="6"/>
      <c r="K6" s="33"/>
      <c r="L6" s="35"/>
      <c r="M6" s="66" t="s">
        <v>84</v>
      </c>
      <c r="N6" s="67">
        <f>MAX(0,(MAX(0,VALUE(설정!$B$8))/24)-M5)</f>
        <v>0</v>
      </c>
    </row>
    <row r="7" spans="1:12">
      <c r="A7" s="10" t="str">
        <f>IF(ROW(A7)-1&gt;DAY(EOMONTH(DATE(VALUE(설정!$B$1),12,1),0)),"",TEXT(DATE(VALUE(설정!$B$1),12,ROW(A7)-1),"mm""월 ""dd""일"""))</f>
        <v>12월 06일</v>
      </c>
      <c r="B7" s="57" t="s">
        <v>42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J7" s="6"/>
      <c r="K7" s="33"/>
      <c r="L7" s="35"/>
      <c r="M7" s="68" t="s">
        <v>85</v>
      </c>
      <c r="N7" s="69">
        <f>MAX(0,M5-(MAX(0,VALUE(설정!$B$8))/24))</f>
        <v>0</v>
      </c>
    </row>
    <row r="8" spans="1:12">
      <c r="A8" s="10" t="str">
        <f>IF(ROW(A8)-1&gt;DAY(EOMONTH(DATE(VALUE(설정!$B$1),12,1),0)),"",TEXT(DATE(VALUE(설정!$B$1),12,ROW(A8)-1),"mm""월 ""dd""일"""))</f>
        <v>12월 07일</v>
      </c>
      <c r="B8" s="57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J8" s="6"/>
      <c r="K8" s="33"/>
      <c r="L8" s="35"/>
      <c r="M8" s="23" t="s">
        <v>95</v>
      </c>
    </row>
    <row r="9" spans="1:12">
      <c r="A9" s="10" t="str">
        <f>IF(ROW(A9)-1&gt;DAY(EOMONTH(DATE(VALUE(설정!$B$1),12,1),0)),"",TEXT(DATE(VALUE(설정!$B$1),12,ROW(A9)-1),"mm""월 ""dd""일"""))</f>
        <v>12월 08일</v>
      </c>
      <c r="B9" s="57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J9" s="6"/>
      <c r="K9" s="33"/>
      <c r="L9" s="26" t="inlineStr">
        <is>
          <t>분기급량상한</t>
        </is>
      </c>
      <c r="M9" s="15">
        <f>MAX(0,VALUE(설정!$B$9))</f>
        <v/>
      </c>
    </row>
    <row r="10" spans="1:12">
      <c r="A10" s="10" t="str">
        <f>IF(ROW(A10)-1&gt;DAY(EOMONTH(DATE(VALUE(설정!$B$1),12,1),0)),"",TEXT(DATE(VALUE(설정!$B$1),12,ROW(A10)-1),"mm""월 ""dd""일"""))</f>
        <v>12월 09일</v>
      </c>
      <c r="B10" s="57" t="s">
        <v>43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J10" s="6"/>
      <c r="K10" s="33"/>
      <c r="L10" s="26" t="inlineStr">
        <is>
          <t>10월</t>
        </is>
      </c>
      <c r="M10" s="15">
        <f>'10월'!$H$33</f>
        <v/>
      </c>
    </row>
    <row r="11" spans="1:12">
      <c r="A11" s="10" t="str">
        <f>IF(ROW(A11)-1&gt;DAY(EOMONTH(DATE(VALUE(설정!$B$1),12,1),0)),"",TEXT(DATE(VALUE(설정!$B$1),12,ROW(A11)-1),"mm""월 ""dd""일"""))</f>
        <v>12월 10일</v>
      </c>
      <c r="B11" s="57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J11" s="6"/>
      <c r="K11" s="33"/>
      <c r="L11" s="26" t="inlineStr">
        <is>
          <t>11월</t>
        </is>
      </c>
      <c r="M11" s="15">
        <f>'11월'!$H$32</f>
        <v/>
      </c>
    </row>
    <row r="12" spans="1:12">
      <c r="A12" s="10" t="str">
        <f>IF(ROW(A12)-1&gt;DAY(EOMONTH(DATE(VALUE(설정!$B$1),12,1),0)),"",TEXT(DATE(VALUE(설정!$B$1),12,ROW(A12)-1),"mm""월 ""dd""일"""))</f>
        <v>12월 11일</v>
      </c>
      <c r="B12" s="57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J12" s="6"/>
      <c r="K12" s="33"/>
      <c r="L12" s="26" t="inlineStr">
        <is>
          <t>12월</t>
        </is>
      </c>
      <c r="M12" s="15">
        <f>'12월'!$H$33</f>
        <v/>
      </c>
    </row>
    <row r="13" spans="1:12">
      <c r="A13" s="10" t="str">
        <f>IF(ROW(A13)-1&gt;DAY(EOMONTH(DATE(VALUE(설정!$B$1),12,1),0)),"",TEXT(DATE(VALUE(설정!$B$1),12,ROW(A13)-1),"mm""월 ""dd""일"""))</f>
        <v>12월 12일</v>
      </c>
      <c r="B13" s="57" t="s">
        <v>42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J13" s="6"/>
      <c r="K13" s="33"/>
      <c r="L13" s="26" t="inlineStr">
        <is>
          <t>분기급량합계</t>
        </is>
      </c>
      <c r="M13" s="15">
        <f>SUM(M10:M12)</f>
        <v/>
      </c>
    </row>
    <row r="14" spans="1:12">
      <c r="A14" s="10" t="str">
        <f>IF(ROW(A14)-1&gt;DAY(EOMONTH(DATE(VALUE(설정!$B$1),12,1),0)),"",TEXT(DATE(VALUE(설정!$B$1),12,ROW(A14)-1),"mm""월 ""dd""일"""))</f>
        <v>12월 13일</v>
      </c>
      <c r="B14" s="57" t="s">
        <v>42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J14" s="6"/>
      <c r="K14" s="33"/>
      <c r="L14" s="26" t="inlineStr">
        <is>
          <t>분기급량미달</t>
        </is>
      </c>
      <c r="M14" s="15">
        <f>MAX(0,M9-M13)</f>
        <v/>
      </c>
    </row>
    <row r="15" spans="1:12">
      <c r="A15" s="10" t="str">
        <f>IF(ROW(A15)-1&gt;DAY(EOMONTH(DATE(VALUE(설정!$B$1),12,1),0)),"",TEXT(DATE(VALUE(설정!$B$1),12,ROW(A15)-1),"mm""월 ""dd""일"""))</f>
        <v>12월 14일</v>
      </c>
      <c r="B15" s="57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J15" s="6"/>
      <c r="K15" s="33"/>
      <c r="L15" s="26" t="inlineStr">
        <is>
          <t>분기급량초과</t>
        </is>
      </c>
      <c r="M15" s="15">
        <f>MAX(0,M13-M9)</f>
        <v/>
      </c>
    </row>
    <row r="16" spans="1:12">
      <c r="A16" s="10" t="str">
        <f>IF(ROW(A16)-1&gt;DAY(EOMONTH(DATE(VALUE(설정!$B$1),12,1),0)),"",TEXT(DATE(VALUE(설정!$B$1),12,ROW(A16)-1),"mm""월 ""dd""일"""))</f>
        <v>12월 15일</v>
      </c>
      <c r="B16" s="57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J16" s="6"/>
      <c r="K16" s="33"/>
      <c r="L16" s="35"/>
      <c r="M16" s="23"/>
    </row>
    <row r="17" spans="1:11">
      <c r="A17" s="10" t="str">
        <f>IF(ROW(A17)-1&gt;DAY(EOMONTH(DATE(VALUE(설정!$B$1),12,1),0)),"",TEXT(DATE(VALUE(설정!$B$1),12,ROW(A17)-1),"mm""월 ""dd""일"""))</f>
        <v>12월 16일</v>
      </c>
      <c r="B17" s="57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J17" s="6"/>
      <c r="K17" s="33"/>
      <c r="L17" s="35"/>
      <c r="M17" s="23"/>
    </row>
    <row r="18" spans="1:11">
      <c r="A18" s="10" t="str">
        <f>IF(ROW(A18)-1&gt;DAY(EOMONTH(DATE(VALUE(설정!$B$1),12,1),0)),"",TEXT(DATE(VALUE(설정!$B$1),12,ROW(A18)-1),"mm""월 ""dd""일"""))</f>
        <v>12월 17일</v>
      </c>
      <c r="B18" s="57" t="s">
        <v>43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J18" s="6"/>
      <c r="K18" s="33"/>
      <c r="L18" s="35"/>
      <c r="M18" s="23"/>
    </row>
    <row r="19" spans="1:11">
      <c r="A19" s="10" t="str">
        <f>IF(ROW(A19)-1&gt;DAY(EOMONTH(DATE(VALUE(설정!$B$1),12,1),0)),"",TEXT(DATE(VALUE(설정!$B$1),12,ROW(A19)-1),"mm""월 ""dd""일"""))</f>
        <v>12월 18일</v>
      </c>
      <c r="B19" s="57" t="s">
        <v>43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J19" s="6"/>
      <c r="K19" s="33"/>
      <c r="L19" s="35"/>
      <c r="M19" s="23"/>
    </row>
    <row r="20" spans="1:11">
      <c r="A20" s="10" t="str">
        <f>IF(ROW(A20)-1&gt;DAY(EOMONTH(DATE(VALUE(설정!$B$1),12,1),0)),"",TEXT(DATE(VALUE(설정!$B$1),12,ROW(A20)-1),"mm""월 ""dd""일"""))</f>
        <v>12월 19일</v>
      </c>
      <c r="B20" s="57" t="s">
        <v>42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J20" s="6"/>
      <c r="K20" s="33"/>
      <c r="L20" s="35"/>
      <c r="M20" s="23"/>
    </row>
    <row r="21" spans="1:11">
      <c r="A21" s="10" t="str">
        <f>IF(ROW(A21)-1&gt;DAY(EOMONTH(DATE(VALUE(설정!$B$1),12,1),0)),"",TEXT(DATE(VALUE(설정!$B$1),12,ROW(A21)-1),"mm""월 ""dd""일"""))</f>
        <v>12월 20일</v>
      </c>
      <c r="B21" s="57" t="s">
        <v>42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J21" s="6"/>
      <c r="K21" s="33"/>
      <c r="L21" s="35"/>
      <c r="M21" s="23"/>
    </row>
    <row r="22" spans="1:11">
      <c r="A22" s="10" t="str">
        <f>IF(ROW(A22)-1&gt;DAY(EOMONTH(DATE(VALUE(설정!$B$1),12,1),0)),"",TEXT(DATE(VALUE(설정!$B$1),12,ROW(A22)-1),"mm""월 ""dd""일"""))</f>
        <v>12월 21일</v>
      </c>
      <c r="B22" s="57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J22" s="6"/>
      <c r="K22" s="33"/>
      <c r="L22" s="35"/>
      <c r="M22" s="23"/>
    </row>
    <row r="23" spans="1:11">
      <c r="A23" s="10" t="str">
        <f>IF(ROW(A23)-1&gt;DAY(EOMONTH(DATE(VALUE(설정!$B$1),12,1),0)),"",TEXT(DATE(VALUE(설정!$B$1),12,ROW(A23)-1),"mm""월 ""dd""일"""))</f>
        <v>12월 22일</v>
      </c>
      <c r="B23" s="57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J23" s="6"/>
      <c r="K23" s="33"/>
      <c r="L23" s="35"/>
      <c r="M23" s="23"/>
    </row>
    <row r="24" spans="1:11">
      <c r="A24" s="10" t="str">
        <f>IF(ROW(A24)-1&gt;DAY(EOMONTH(DATE(VALUE(설정!$B$1),12,1),0)),"",TEXT(DATE(VALUE(설정!$B$1),12,ROW(A24)-1),"mm""월 ""dd""일"""))</f>
        <v>12월 23일</v>
      </c>
      <c r="B24" s="57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J24" s="6"/>
      <c r="K24" s="33"/>
      <c r="L24" s="35"/>
      <c r="M24" s="23"/>
    </row>
    <row r="25" spans="1:11">
      <c r="A25" s="10" t="str">
        <f>IF(ROW(A25)-1&gt;DAY(EOMONTH(DATE(VALUE(설정!$B$1),12,1),0)),"",TEXT(DATE(VALUE(설정!$B$1),12,ROW(A25)-1),"mm""월 ""dd""일"""))</f>
        <v>12월 24일</v>
      </c>
      <c r="B25" s="57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J25" s="6"/>
      <c r="K25" s="33"/>
      <c r="L25" s="35"/>
      <c r="M25" s="23"/>
    </row>
    <row r="26" spans="1:11">
      <c r="A26" s="10" t="str">
        <f>IF(ROW(A26)-1&gt;DAY(EOMONTH(DATE(VALUE(설정!$B$1),12,1),0)),"",TEXT(DATE(VALUE(설정!$B$1),12,ROW(A26)-1),"mm""월 ""dd""일"""))</f>
        <v>12월 25일</v>
      </c>
      <c r="B26" s="57" t="s">
        <v>41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J26" s="6" t="s">
        <v>71</v>
      </c>
      <c r="K26" s="33"/>
      <c r="L26" s="35"/>
      <c r="M26" s="23"/>
    </row>
    <row r="27" spans="1:11">
      <c r="A27" s="10" t="str">
        <f>IF(ROW(A27)-1&gt;DAY(EOMONTH(DATE(VALUE(설정!$B$1),12,1),0)),"",TEXT(DATE(VALUE(설정!$B$1),12,ROW(A27)-1),"mm""월 ""dd""일"""))</f>
        <v>12월 26일</v>
      </c>
      <c r="B27" s="57" t="s">
        <v>42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J27" s="6"/>
      <c r="K27" s="33"/>
      <c r="L27" s="35"/>
      <c r="M27" s="23"/>
    </row>
    <row r="28" spans="1:11">
      <c r="A28" s="10" t="str">
        <f>IF(ROW(A28)-1&gt;DAY(EOMONTH(DATE(VALUE(설정!$B$1),12,1),0)),"",TEXT(DATE(VALUE(설정!$B$1),12,ROW(A28)-1),"mm""월 ""dd""일"""))</f>
        <v>12월 27일</v>
      </c>
      <c r="B28" s="57" t="s">
        <v>42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J28" s="6"/>
      <c r="K28" s="33"/>
      <c r="L28" s="35"/>
      <c r="M28" s="23"/>
    </row>
    <row r="29" spans="1:11">
      <c r="A29" s="10" t="str">
        <f>IF(ROW(A29)-1&gt;DAY(EOMONTH(DATE(VALUE(설정!$B$1),12,1),0)),"",TEXT(DATE(VALUE(설정!$B$1),12,ROW(A29)-1),"mm""월 ""dd""일"""))</f>
        <v>12월 28일</v>
      </c>
      <c r="B29" s="57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J29" s="6"/>
      <c r="K29" s="33"/>
      <c r="L29" s="35"/>
      <c r="M29" s="23"/>
    </row>
    <row r="30" spans="1:11">
      <c r="A30" s="10" t="str">
        <f>IF(ROW(A30)-1&gt;DAY(EOMONTH(DATE(VALUE(설정!$B$1),12,1),0)),"",TEXT(DATE(VALUE(설정!$B$1),12,ROW(A30)-1),"mm""월 ""dd""일"""))</f>
        <v>12월 29일</v>
      </c>
      <c r="B30" s="10" t="s">
        <v>43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J30" s="6"/>
      <c r="K30" s="33"/>
      <c r="L30" s="35"/>
      <c r="M30" s="23"/>
    </row>
    <row r="31" spans="1:11">
      <c r="A31" s="10" t="str">
        <f>IF(ROW(A31)-1&gt;DAY(EOMONTH(DATE(VALUE(설정!$B$1),12,1),0)),"",TEXT(DATE(VALUE(설정!$B$1),12,ROW(A31)-1),"mm""월 ""dd""일"""))</f>
        <v>12월 30일</v>
      </c>
      <c r="B31" s="10" t="s">
        <v>43</v>
      </c>
      <c r="C31" s="19"/>
      <c r="D31" s="1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J31" s="6"/>
      <c r="K31" s="33"/>
      <c r="L31" s="35"/>
      <c r="M31" s="23"/>
    </row>
    <row r="32" spans="1:11">
      <c r="A32" s="10" t="str">
        <f>IF(ROW(A32)-1&gt;DAY(EOMONTH(DATE(VALUE(설정!$B$1),12,1),0)),"",TEXT(DATE(VALUE(설정!$B$1),12,ROW(A32)-1),"mm""월 ""dd""일"""))</f>
        <v>12월 31일</v>
      </c>
      <c r="B32" s="10" t="s">
        <v>43</v>
      </c>
      <c r="C32" s="19"/>
      <c r="D32" s="19"/>
      <c r="E32" s="19">
        <f>IF($A32="",0,IF($B32="평일",TIME(1,0,0),0))</f>
        <v/>
      </c>
      <c r="F32" s="19">
        <f>IF(OR($C32="",$D32=""),0,IF(AND($B32="휴일",설정!$B$6="예"),MIN(MAX(0,VALUE(설정!$B$2))/24,MAX(0,(MIN(IF(VALUE(설정!$B$2)=4,IF(AND($D32&gt;TIME(18,0,0),$D32&lt;TIME(19,1,0)),TIME(18,0,0),$D32),$D32),설정!$B$5)-MAX(IF(VALUE(설정!$B$2)=4,IF(AND($C32&gt;=TIME(8,0,0),$C32&lt;TIME(9,0,0)),TIME(9,0,0),$C32),$C32),설정!$B$4))-$E32)),IF($B32="평일",MIN(MAX(0,VALUE(설정!$B$2))/24,MAX(0,(MIN(IF(VALUE(설정!$B$2)=4,IF(AND($D32&gt;TIME(18,0,0),$D32&lt;TIME(19,1,0)),TIME(18,0,0),$D32),$D32),설정!$B$5)-MAX(IF(VALUE(설정!$B$2)=4,IF(AND($C32&gt;=TIME(8,0,0),$C32&lt;TIME(9,0,0)),TIME(9,0,0),$C32),$C32),설정!$B$4))-TIME(9,0,0)-$E32)),0)))</f>
        <v/>
      </c>
      <c r="G32" s="8">
        <f>IF($B32="휴일",IF(설정!$B$6="예",IF(ROUND($F32*86400,0)&gt;=3660,1,0),0),IF(ISBLANK(C32),0,IF(C32&lt;=TIME(7,59,59),1,0)))</f>
        <v>0</v>
      </c>
      <c r="H32" s="8">
        <f t="shared" si="0"/>
        <v>0</v>
      </c>
      <c r="J32" s="6"/>
      <c r="K32" s="33"/>
      <c r="L32" s="35"/>
      <c r="M32" s="23"/>
    </row>
    <row r="33" spans="1:11">
      <c r="A33" s="6"/>
      <c r="B33" s="55"/>
      <c r="C33" s="5"/>
      <c r="D33" s="11" t="s">
        <v>5</v>
      </c>
      <c r="G33" s="13">
        <f>SUM(F2:F32)</f>
        <v>0</v>
      </c>
      <c r="G33" s="6" t="s">
        <v>7</v>
      </c>
      <c r="H33" s="14">
        <f>MIN(SUM(G2:H32),MAX(0,VALUE(설정!$B$7)))</f>
        <v>0</v>
      </c>
      <c r="L33" s="23"/>
    </row>
    <row r="34" spans="1:11">
      <c r="A34" s="6"/>
      <c r="B34" s="55"/>
      <c r="C34" s="6"/>
      <c r="D34" s="1" t="s">
        <v>6</v>
      </c>
      <c r="F34" s="12">
        <f>MAX(0, ((설정!$B$3*60) - (F33*1440)) / 1440)</f>
        <v>2.0416666666666665</v>
      </c>
      <c r="G34" s="1" t="s">
        <v>6</v>
      </c>
      <c r="H34" s="7">
        <f>MAX(0,MAX(0,VALUE(설정!$B$7))-H33)</f>
        <v>20</v>
      </c>
      <c r="I34" s="6"/>
      <c r="L34" s="23"/>
    </row>
    <row r="35" spans="1:11">
      <c r="D35" s="2" t="s">
        <v>8</v>
      </c>
      <c r="F35" s="12">
        <f>IF(SUM(F2:F32)&gt;(설정!$B$3/24), (SUM(F2:F32)-(설정!$B$3/24)), 0)</f>
        <v>0</v>
      </c>
      <c r="G35" s="2" t="s">
        <v>8</v>
      </c>
      <c r="H35" s="18">
        <f>MAX(0,SUM(G2:H32)-MAX(0,VALUE(설정!$B$7)))</f>
        <v>0</v>
      </c>
    </row>
    <row r="36" spans="1:11">
      <c r="D36" s="1" t="s">
        <v>32</v>
      </c>
      <c r="F36" s="2">
        <f>IF(설정!$B$6&lt;&gt;"아니오",0,COUNTIFS($B$2:$B$32,"휴일",$C$2:$C$32,"&lt;&gt;"))</f>
        <v>0</v>
      </c>
      <c r="H36" s="6">
        <f>SUM(G2:H32)</f>
        <v>0</v>
      </c>
    </row>
    <row r="37" spans="1:11">
      <c r="F37"/>
    </row>
  </sheetData>
  <phoneticPr fontId="1" type="noConversion"/>
  <conditionalFormatting sqref="A2:A32">
    <cfRule type="expression" dxfId="0" priority="1">
      <formula>AND($A2&lt;&gt;"",$B2="휴일")</formula>
    </cfRule>
  </conditionalFormatting>
  <dataValidations count="1">
    <dataValidation type="list" allowBlank="1" showInputMessage="1" showErrorMessage="1" sqref="B2:B32" xr:uid="{F77B0B5A-AD0F-48F0-AEA7-900E66D4DC6B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D00-000000000000}">
          <x14:formula1>
            <xm:f>급량!$A:$A</xm:f>
          </x14:formula1>
          <xm:sqref>I1:I1048576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61D079C-FBA6-4AE2-9CA5-879FFFBDED1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14</vt:i4>
      </vt:variant>
    </vt:vector>
  </HeadingPairs>
  <TitlesOfParts>
    <vt:vector size="14" baseType="lpstr">
      <vt:lpstr>설정</vt:lpstr>
      <vt:lpstr>급량</vt:lpstr>
      <vt:lpstr>1월</vt:lpstr>
      <vt:lpstr>2월</vt:lpstr>
      <vt:lpstr>3월</vt:lpstr>
      <vt:lpstr>4월</vt:lpstr>
      <vt:lpstr>5월</vt:lpstr>
      <vt:lpstr>6월</vt:lpstr>
      <vt:lpstr>7월</vt:lpstr>
      <vt:lpstr>8월</vt:lpstr>
      <vt:lpstr>9월</vt:lpstr>
      <vt:lpstr>10월</vt:lpstr>
      <vt:lpstr>11월</vt:lpstr>
      <vt:lpstr>12월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2024-08-01T03:13:31Z</dcterms:created>
  <dcterms:modified xsi:type="dcterms:W3CDTF">2026-10-01T07:55:08Z</dcterms:modified>
</cp:coreProperties>
</file>