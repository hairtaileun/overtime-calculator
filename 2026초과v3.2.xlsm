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54822C0D-1918-40E8-BA43-56A5F412D61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'1월'!$A$1:$M$36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<sst xmlns="http://schemas.openxmlformats.org/spreadsheetml/2006/main" count="669" uniqueCount="97">
  <si>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</si>
  <si>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</si>
  <si>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</si>
  <si>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</si>
  <si>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</si>
  <si>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</si>
  <si>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</si>
  <si>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</si>
  <si>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</si>
  <si>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</si>
  <si>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</si>
  <si>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</si>
  <si>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</si>
  <si>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</si>
  <si>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</si>
  <si>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</si>
  <si>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</si>
  <si>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</si>
  <si>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</si>
  <si>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</si>
  <si>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</si>
  <si>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</si>
  <si>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</si>
  <si>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</si>
  <si>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</si>
  <si>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</si>
  <si>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</si>
  <si>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</si>
  <si>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</si>
  <si>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</si>
  <si>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</si>
  <si>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</si>
  <si>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</si>
  <si>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</si>
  <si>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</si>
  <si>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</si>
  <si>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</si>
  <si>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</si>
  <si>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</si>
  <si>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</si>
  <si>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</si>
  <si>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</si>
  <si>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</si>
  <si>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</si>
  <si>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</si>
  <si>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</si>
  <si>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</si>
  <si>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</si>
  <si>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</si>
  <si>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</si>
  <si>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</si>
  <si>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</si>
  <si>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</si>
  <si>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</si>
  <si>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</si>
  <si>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</si>
  <si>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</si>
  <si>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</si>
  <si>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</si>
  <si>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</si>
  <si>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</si>
  <si>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설정한 일일상한까지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</si>
  <si>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</si>
  <si>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</si>
  <si>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</si>
  <si>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</si>
  <si>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</si>
  <si>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</si>
  <si>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</si>
  <si>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</si>
  <si>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</si>
  <si>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</si>
  <si>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</si>
  <si>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</si>
  <si>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</si>
  <si>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</si>
  <si>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</si>
  <si>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</si>
  <si>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</si>
  <si>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</si>
  <si>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</si>
  <si>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</si>
  <si>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</si>
  <si>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</si>
  <si>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</si>
  <si>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</si>
  <si>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</si>
  <si>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</si>
  <si>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</si>
  <si>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</si>
  <si>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</si>
  <si>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</si>
  <si>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</si>
  <si>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</si>
  <si>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</si>
  <si>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*현업제외</t>
    <phoneticPr fontId="1" type="noConversion"/>
  </si>
  <si>
    <t>**1시간 공제 현업, 비현업 모두적용됩니다.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</si>
</sst>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7" name="btnRegenerate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9E7E1441-52C9-498F-8DBB-70DE9ABE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1"/>
  <sheetViews>
    <sheetView workbookViewId="0">
      <selection activeCell="C24" sqref="C24"/>
    </sheetView>
  </sheetViews>
  <sheetFormatPr defaultRowHeight="16.5"/>
  <cols>
    <col min="1" max="1" width="12.5" customWidth="1"/>
    <col min="5" max="5" width="10.25" customWidth="1"/>
  </cols>
  <sheetData>
    <row r="1" spans="1:11" ht="17.25" thickBot="1">
      <c r="A1" s="60" t="s">
        <v>38</v>
      </c>
      <c r="B1" s="71">
        <v>2026</v>
      </c>
      <c r="E1" t="s">
        <v>77</v>
      </c>
    </row>
    <row r="2" spans="1:11" ht="18" thickTop="1" thickBot="1">
      <c r="A2" s="61" t="s">
        <v>46</v>
      </c>
      <c r="B2" s="15">
        <v>8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2">
        <v>0.25</v>
      </c>
      <c r="E4" t="s">
        <v>57</v>
      </c>
    </row>
    <row r="5" spans="1:11" ht="18" thickTop="1" thickBot="1">
      <c r="A5" s="61" t="s">
        <v>36</v>
      </c>
      <c r="B5" s="72">
        <v>0.95833333333333337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s="61" t="inlineStr">
        <is>
          <t>월급량상한</t>
        </is>
      </c>
      <c r="B7" s="15">
        <v>20</v>
      </c>
      <c r="E7" t="s">
        <v>74</v>
      </c>
    </row>
    <row r="8" spans="1:11">
      <c r="A8" s="61" t="inlineStr">
        <is>
          <t>분기상한</t>
        </is>
      </c>
      <c r="B8" s="15">
        <v>177</v>
      </c>
      <c r="E8" t="s">
        <v>75</v>
      </c>
    </row>
    <row r="9" spans="1:11">
      <c r="E9" t="s">
        <v>76</v>
      </c>
    </row>
    <row r="10"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8</v>
      </c>
      <c r="K12" t="s">
        <v>51</v>
      </c>
    </row>
    <row r="13" spans="1:11" ht="18" thickTop="1" thickBot="1">
      <c r="E13" s="62" t="inlineStr">
        <is>
          <t>월상한</t>
        </is>
      </c>
      <c r="F13" s="15">
        <v>67</v>
      </c>
      <c r="H13" s="62" t="inlineStr">
        <is>
          <t>월상한</t>
        </is>
      </c>
      <c r="I13" s="15">
        <v>49</v>
      </c>
      <c r="K13" t="s">
        <v>52</v>
      </c>
    </row>
    <row r="14" spans="1:11" ht="18" thickTop="1" thickBot="1">
      <c r="E14" s="62" t="s">
        <v>35</v>
      </c>
      <c r="F14" s="72">
        <v>0.16666666666666666</v>
      </c>
      <c r="H14" s="62" t="s">
        <v>35</v>
      </c>
      <c r="I14" s="72">
        <v>0.25</v>
      </c>
      <c r="K14" t="s">
        <v>53</v>
      </c>
    </row>
    <row r="15" spans="1:11" ht="18" thickTop="1" thickBot="1">
      <c r="E15" s="62" t="s">
        <v>36</v>
      </c>
      <c r="F15" s="72">
        <v>0.95833333333333337</v>
      </c>
      <c r="H15" s="62" t="s">
        <v>36</v>
      </c>
      <c r="I15" s="72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0" spans="5:5">
      <c r="E20" t="s">
        <v>96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4" spans="5:5">
      <c r="E24" t="s">
        <v>62</v>
      </c>
    </row>
    <row r="26" spans="5:5">
      <c r="E26" t="s">
        <v>49</v>
      </c>
    </row>
    <row r="27" spans="5:5">
      <c r="E27" t="s">
        <v>60</v>
      </c>
    </row>
    <row r="28" spans="5:5">
      <c r="E28" t="s">
        <v>59</v>
      </c>
    </row>
    <row r="29" spans="5:5">
      <c r="E29" t="s">
        <v>58</v>
      </c>
    </row>
    <row r="30" spans="5:5">
      <c r="E30" t="s">
        <v>50</v>
      </c>
    </row>
    <row r="31" spans="5:5">
      <c r="E31" t="s">
        <v>48</v>
      </c>
    </row>
  </sheetData>
  <phoneticPr fontId="1" type="noConversion"/>
  <dataValidations count="1">
    <dataValidation type="list" allowBlank="1" showInputMessage="1" showErrorMessage="1" sqref="I16 F16 B6" xr:uid="{F109FF6E-09C0-4365-A0B9-861B29189246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SUM(SUMIF('1월'!I:I, A2, '1월'!J:J),SUMIF('2월'!I:I, A2, '2월'!J:J),SUMIF('3월'!I:I, A2, '3월'!J:J),SUMIF('4월'!I:I, A2, '4월'!J:J),SUMIF('5월'!I:I, A2, '5월'!J:J),SUMIF('6월'!I:I, A2, '6월'!J:J),SUMIF('7월'!I:I, A2, '7월'!J:J),SUMIF('8월'!I:I, A2, '8월'!J:J),SUMIF('9월'!I:I, A2, '9월'!J:J),SUMIF('10월'!I:I, A2, '10월'!J:J),SUMIF('11월'!I:I, A2, '11월'!J:J),SUMIF('12월'!I:I, A2, '12월'!J:J))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SUM(SUMIF('1월'!I:I, A3, '1월'!J:J),SUMIF('2월'!I:I, A3, '2월'!J:J),SUMIF('3월'!I:I, A3, '3월'!J:J),SUMIF('4월'!I:I, A3, '4월'!J:J),SUMIF('5월'!I:I, A3, '5월'!J:J),SUMIF('6월'!I:I, A3, '6월'!J:J),SUMIF('7월'!I:I, A3, '7월'!J:J),SUMIF('8월'!I:I, A3, '8월'!J:J),SUMIF('9월'!I:I, A3, '9월'!J:J),SUMIF('10월'!I:I, A3, '10월'!J:J),SUMIF('11월'!I:I, A3, '11월'!J:J),SUMIF('12월'!I:I, A3, '12월'!J:J))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SUM(SUMIF('1월'!I:I, A4, '1월'!J:J),SUMIF('2월'!I:I, A4, '2월'!J:J),SUMIF('3월'!I:I, A4, '3월'!J:J),SUMIF('4월'!I:I, A4, '4월'!J:J),SUMIF('5월'!I:I, A4, '5월'!J:J),SUMIF('6월'!I:I, A4, '6월'!J:J),SUMIF('7월'!I:I, A4, '7월'!J:J),SUMIF('8월'!I:I, A4, '8월'!J:J),SUMIF('9월'!I:I, A4, '9월'!J:J),SUMIF('10월'!I:I, A4, '10월'!J:J),SUMIF('11월'!I:I, A4, '11월'!J:J),SUMIF('12월'!I:I, A4, '12월'!J:J))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SUM(SUMIF('1월'!I:I, A5, '1월'!J:J),SUMIF('2월'!I:I, A5, '2월'!J:J),SUMIF('3월'!I:I, A5, '3월'!J:J),SUMIF('4월'!I:I, A5, '4월'!J:J),SUMIF('5월'!I:I, A5, '5월'!J:J),SUMIF('6월'!I:I, A5, '6월'!J:J),SUMIF('7월'!I:I, A5, '7월'!J:J),SUMIF('8월'!I:I, A5, '8월'!J:J),SUMIF('9월'!I:I, A5, '9월'!J:J),SUMIF('10월'!I:I, A5, '10월'!J:J),SUMIF('11월'!I:I, A5, '11월'!J:J),SUMIF('12월'!I:I, A5, '12월'!J:J))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SUM(SUMIF('1월'!I:I, A6, '1월'!J:J),SUMIF('2월'!I:I, A6, '2월'!J:J),SUMIF('3월'!I:I, A6, '3월'!J:J),SUMIF('4월'!I:I, A6, '4월'!J:J),SUMIF('5월'!I:I, A6, '5월'!J:J),SUMIF('6월'!I:I, A6, '6월'!J:J),SUMIF('7월'!I:I, A6, '7월'!J:J),SUMIF('8월'!I:I, A6, '8월'!J:J),SUMIF('9월'!I:I, A6, '9월'!J:J),SUMIF('10월'!I:I, A6, '10월'!J:J),SUMIF('11월'!I:I, A6, '11월'!J:J),SUMIF('12월'!I:I, A6, '12월'!J:J))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SUM(SUMIF('1월'!I:I, A7, '1월'!J:J),SUMIF('2월'!I:I, A7, '2월'!J:J),SUMIF('3월'!I:I, A7, '3월'!J:J),SUMIF('4월'!I:I, A7, '4월'!J:J),SUMIF('5월'!I:I, A7, '5월'!J:J),SUMIF('6월'!I:I, A7, '6월'!J:J),SUMIF('7월'!I:I, A7, '7월'!J:J),SUMIF('8월'!I:I, A7, '8월'!J:J),SUMIF('9월'!I:I, A7, '9월'!J:J),SUMIF('10월'!I:I, A7, '10월'!J:J),SUMIF('11월'!I:I, A7, '11월'!J:J),SUMIF('12월'!I:I, A7, '12월'!J:J))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SUM(SUMIF('1월'!I:I, A8, '1월'!J:J),SUMIF('2월'!I:I, A8, '2월'!J:J),SUMIF('3월'!I:I, A8, '3월'!J:J),SUMIF('4월'!I:I, A8, '4월'!J:J),SUMIF('5월'!I:I, A8, '5월'!J:J),SUMIF('6월'!I:I, A8, '6월'!J:J),SUMIF('7월'!I:I, A8, '7월'!J:J),SUMIF('8월'!I:I, A8, '8월'!J:J),SUMIF('9월'!I:I, A8, '9월'!J:J),SUMIF('10월'!I:I, A8, '10월'!J:J),SUMIF('11월'!I:I, A8, '11월'!J:J),SUMIF('12월'!I:I, A8, '12월'!J:J))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SUM(SUMIF('1월'!I:I, A9, '1월'!J:J),SUMIF('2월'!I:I, A9, '2월'!J:J),SUMIF('3월'!I:I, A9, '3월'!J:J),SUMIF('4월'!I:I, A9, '4월'!J:J),SUMIF('5월'!I:I, A9, '5월'!J:J),SUMIF('6월'!I:I, A9, '6월'!J:J),SUMIF('7월'!I:I, A9, '7월'!J:J),SUMIF('8월'!I:I, A9, '8월'!J:J),SUMIF('9월'!I:I, A9, '9월'!J:J),SUMIF('10월'!I:I, A9, '10월'!J:J),SUMIF('11월'!I:I, A9, '11월'!J:J),SUMIF('12월'!I:I, A9, '12월'!J:J))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SUM(SUMIF('1월'!I:I, A10, '1월'!J:J),SUMIF('2월'!I:I, A10, '2월'!J:J),SUMIF('3월'!I:I, A10, '3월'!J:J),SUMIF('4월'!I:I, A10, '4월'!J:J),SUMIF('5월'!I:I, A10, '5월'!J:J),SUMIF('6월'!I:I, A10, '6월'!J:J),SUMIF('7월'!I:I, A10, '7월'!J:J),SUMIF('8월'!I:I, A10, '8월'!J:J),SUMIF('9월'!I:I, A10, '9월'!J:J),SUMIF('10월'!I:I, A10, '10월'!J:J),SUMIF('11월'!I:I, A10, '11월'!J:J),SUMIF('12월'!I:I, A10, '12월'!J:J))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SUM(SUMIF('1월'!I:I, A11, '1월'!J:J),SUMIF('2월'!I:I, A11, '2월'!J:J),SUMIF('3월'!I:I, A11, '3월'!J:J),SUMIF('4월'!I:I, A11, '4월'!J:J),SUMIF('5월'!I:I, A11, '5월'!J:J),SUMIF('6월'!I:I, A11, '6월'!J:J),SUMIF('7월'!I:I, A11, '7월'!J:J),SUMIF('8월'!I:I, A11, '8월'!J:J),SUMIF('9월'!I:I, A11, '9월'!J:J),SUMIF('10월'!I:I, A11, '10월'!J:J),SUMIF('11월'!I:I, A11, '11월'!J:J),SUMIF('12월'!I:I, A11, '12월'!J:J))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SUM(SUMIF('1월'!I:I, A12, '1월'!J:J),SUMIF('2월'!I:I, A12, '2월'!J:J),SUMIF('3월'!I:I, A12, '3월'!J:J),SUMIF('4월'!I:I, A12, '4월'!J:J),SUMIF('5월'!I:I, A12, '5월'!J:J),SUMIF('6월'!I:I, A12, '6월'!J:J),SUMIF('7월'!I:I, A12, '7월'!J:J),SUMIF('8월'!I:I, A12, '8월'!J:J),SUMIF('9월'!I:I, A12, '9월'!J:J),SUMIF('10월'!I:I, A12, '10월'!J:J),SUMIF('11월'!I:I, A12, '11월'!J:J),SUMIF('12월'!I:I, A12, '12월'!J:J))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SUM(SUMIF('1월'!I:I, A13, '1월'!J:J),SUMIF('2월'!I:I, A13, '2월'!J:J),SUMIF('3월'!I:I, A13, '3월'!J:J),SUMIF('4월'!I:I, A13, '4월'!J:J),SUMIF('5월'!I:I, A13, '5월'!J:J),SUMIF('6월'!I:I, A13, '6월'!J:J),SUMIF('7월'!I:I, A13, '7월'!J:J),SUMIF('8월'!I:I, A13, '8월'!J:J),SUMIF('9월'!I:I, A13, '9월'!J:J),SUMIF('10월'!I:I, A13, '10월'!J:J),SUMIF('11월'!I:I, A13, '11월'!J:J),SUMIF('12월'!I:I, A13, '12월'!J:J))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SUM(SUMIF('1월'!I:I, A14, '1월'!J:J),SUMIF('2월'!I:I, A14, '2월'!J:J),SUMIF('3월'!I:I, A14, '3월'!J:J),SUMIF('4월'!I:I, A14, '4월'!J:J),SUMIF('5월'!I:I, A14, '5월'!J:J),SUMIF('6월'!I:I, A14, '6월'!J:J),SUMIF('7월'!I:I, A14, '7월'!J:J),SUMIF('8월'!I:I, A14, '8월'!J:J),SUMIF('9월'!I:I, A14, '9월'!J:J),SUMIF('10월'!I:I, A14, '10월'!J:J),SUMIF('11월'!I:I, A14, '11월'!J:J),SUMIF('12월'!I:I, A14, '12월'!J:J))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SUM(SUMIF('1월'!I:I, A15, '1월'!J:J),SUMIF('2월'!I:I, A15, '2월'!J:J),SUMIF('3월'!I:I, A15, '3월'!J:J),SUMIF('4월'!I:I, A15, '4월'!J:J),SUMIF('5월'!I:I, A15, '5월'!J:J),SUMIF('6월'!I:I, A15, '6월'!J:J),SUMIF('7월'!I:I, A15, '7월'!J:J),SUMIF('8월'!I:I, A15, '8월'!J:J),SUMIF('9월'!I:I, A15, '9월'!J:J),SUMIF('10월'!I:I, A15, '10월'!J:J),SUMIF('11월'!I:I, A15, '11월'!J:J),SUMIF('12월'!I:I, A15, '12월'!J:J))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SUM(SUMIF('1월'!I:I, A16, '1월'!J:J),SUMIF('2월'!I:I, A16, '2월'!J:J),SUMIF('3월'!I:I, A16, '3월'!J:J),SUMIF('4월'!I:I, A16, '4월'!J:J),SUMIF('5월'!I:I, A16, '5월'!J:J),SUMIF('6월'!I:I, A16, '6월'!J:J),SUMIF('7월'!I:I, A16, '7월'!J:J),SUMIF('8월'!I:I, A16, '8월'!J:J),SUMIF('9월'!I:I, A16, '9월'!J:J),SUMIF('10월'!I:I, A16, '10월'!J:J),SUMIF('11월'!I:I, A16, '11월'!J:J),SUMIF('12월'!I:I, A16, '12월'!J:J))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SUM(SUMIF('1월'!I:I, A17, '1월'!J:J),SUMIF('2월'!I:I, A17, '2월'!J:J),SUMIF('3월'!I:I, A17, '3월'!J:J),SUMIF('4월'!I:I, A17, '4월'!J:J),SUMIF('5월'!I:I, A17, '5월'!J:J),SUMIF('6월'!I:I, A17, '6월'!J:J),SUMIF('7월'!I:I, A17, '7월'!J:J),SUMIF('8월'!I:I, A17, '8월'!J:J),SUMIF('9월'!I:I, A17, '9월'!J:J),SUMIF('10월'!I:I, A17, '10월'!J:J),SUMIF('11월'!I:I, A17, '11월'!J:J),SUMIF('12월'!I:I, A17, '12월'!J:J))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SUM(SUMIF('1월'!I:I, A18, '1월'!J:J),SUMIF('2월'!I:I, A18, '2월'!J:J),SUMIF('3월'!I:I, A18, '3월'!J:J),SUMIF('4월'!I:I, A18, '4월'!J:J),SUMIF('5월'!I:I, A18, '5월'!J:J),SUMIF('6월'!I:I, A18, '6월'!J:J),SUMIF('7월'!I:I, A18, '7월'!J:J),SUMIF('8월'!I:I, A18, '8월'!J:J),SUMIF('9월'!I:I, A18, '9월'!J:J),SUMIF('10월'!I:I, A18, '10월'!J:J),SUMIF('11월'!I:I, A18, '11월'!J:J),SUMIF('12월'!I:I, A18, '12월'!J:J))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SUM(SUMIF('1월'!I:I, A19, '1월'!J:J),SUMIF('2월'!I:I, A19, '2월'!J:J),SUMIF('3월'!I:I, A19, '3월'!J:J),SUMIF('4월'!I:I, A19, '4월'!J:J),SUMIF('5월'!I:I, A19, '5월'!J:J),SUMIF('6월'!I:I, A19, '6월'!J:J),SUMIF('7월'!I:I, A19, '7월'!J:J),SUMIF('8월'!I:I, A19, '8월'!J:J),SUMIF('9월'!I:I, A19, '9월'!J:J),SUMIF('10월'!I:I, A19, '10월'!J:J),SUMIF('11월'!I:I, A19, '11월'!J:J),SUMIF('12월'!I:I, A19, '12월'!J:J))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SUM(SUMIF('1월'!I:I, A20, '1월'!J:J),SUMIF('2월'!I:I, A20, '2월'!J:J),SUMIF('3월'!I:I, A20, '3월'!J:J),SUMIF('4월'!I:I, A20, '4월'!J:J),SUMIF('5월'!I:I, A20, '5월'!J:J),SUMIF('6월'!I:I, A20, '6월'!J:J),SUMIF('7월'!I:I, A20, '7월'!J:J),SUMIF('8월'!I:I, A20, '8월'!J:J),SUMIF('9월'!I:I, A20, '9월'!J:J),SUMIF('10월'!I:I, A20, '10월'!J:J),SUMIF('11월'!I:I, A20, '11월'!J:J),SUMIF('12월'!I:I, A20, '12월'!J:J))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SUM(SUMIF('1월'!I:I, A21, '1월'!J:J),SUMIF('2월'!I:I, A21, '2월'!J:J),SUMIF('3월'!I:I, A21, '3월'!J:J),SUMIF('4월'!I:I, A21, '4월'!J:J),SUMIF('5월'!I:I, A21, '5월'!J:J),SUMIF('6월'!I:I, A21, '6월'!J:J),SUMIF('7월'!I:I, A21, '7월'!J:J),SUMIF('8월'!I:I, A21, '8월'!J:J),SUMIF('9월'!I:I, A21, '9월'!J:J),SUMIF('10월'!I:I, A21, '10월'!J:J),SUMIF('11월'!I:I, A21, '11월'!J:J),SUMIF('12월'!I:I, A21, '12월'!J:J))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SUM(SUMIF('1월'!I:I, A22, '1월'!J:J),SUMIF('2월'!I:I, A22, '2월'!J:J),SUMIF('3월'!I:I, A22, '3월'!J:J),SUMIF('4월'!I:I, A22, '4월'!J:J),SUMIF('5월'!I:I, A22, '5월'!J:J),SUMIF('6월'!I:I, A22, '6월'!J:J),SUMIF('7월'!I:I, A22, '7월'!J:J),SUMIF('8월'!I:I, A22, '8월'!J:J),SUMIF('9월'!I:I, A22, '9월'!J:J),SUMIF('10월'!I:I, A22, '10월'!J:J),SUMIF('11월'!I:I, A22, '11월'!J:J),SUMIF('12월'!I:I, A22, '12월'!J:J))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SUM(SUMIF('1월'!I:I, A23, '1월'!J:J),SUMIF('2월'!I:I, A23, '2월'!J:J),SUMIF('3월'!I:I, A23, '3월'!J:J),SUMIF('4월'!I:I, A23, '4월'!J:J),SUMIF('5월'!I:I, A23, '5월'!J:J),SUMIF('6월'!I:I, A23, '6월'!J:J),SUMIF('7월'!I:I, A23, '7월'!J:J),SUMIF('8월'!I:I, A23, '8월'!J:J),SUMIF('9월'!I:I, A23, '9월'!J:J),SUMIF('10월'!I:I, A23, '10월'!J:J),SUMIF('11월'!I:I, A23, '11월'!J:J),SUMIF('12월'!I:I, A23, '12월'!J:J))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SUM(SUMIF('1월'!I:I, A24, '1월'!J:J),SUMIF('2월'!I:I, A24, '2월'!J:J),SUMIF('3월'!I:I, A24, '3월'!J:J),SUMIF('4월'!I:I, A24, '4월'!J:J),SUMIF('5월'!I:I, A24, '5월'!J:J),SUMIF('6월'!I:I, A24, '6월'!J:J),SUMIF('7월'!I:I, A24, '7월'!J:J),SUMIF('8월'!I:I, A24, '8월'!J:J),SUMIF('9월'!I:I, A24, '9월'!J:J),SUMIF('10월'!I:I, A24, '10월'!J:J),SUMIF('11월'!I:I, A24, '11월'!J:J),SUMIF('12월'!I:I, A24, '12월'!J:J))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SUM(SUMIF('1월'!I:I, A25, '1월'!J:J),SUMIF('2월'!I:I, A25, '2월'!J:J),SUMIF('3월'!I:I, A25, '3월'!J:J),SUMIF('4월'!I:I, A25, '4월'!J:J),SUMIF('5월'!I:I, A25, '5월'!J:J),SUMIF('6월'!I:I, A25, '6월'!J:J),SUMIF('7월'!I:I, A25, '7월'!J:J),SUMIF('8월'!I:I, A25, '8월'!J:J),SUMIF('9월'!I:I, A25, '9월'!J:J),SUMIF('10월'!I:I, A25, '10월'!J:J),SUMIF('11월'!I:I, A25, '11월'!J:J),SUMIF('12월'!I:I, A25, '12월'!J:J))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SUM(SUMIF('1월'!I:I, A26, '1월'!J:J),SUMIF('2월'!I:I, A26, '2월'!J:J),SUMIF('3월'!I:I, A26, '3월'!J:J),SUMIF('4월'!I:I, A26, '4월'!J:J),SUMIF('5월'!I:I, A26, '5월'!J:J),SUMIF('6월'!I:I, A26, '6월'!J:J),SUMIF('7월'!I:I, A26, '7월'!J:J),SUMIF('8월'!I:I, A26, '8월'!J:J),SUMIF('9월'!I:I, A26, '9월'!J:J),SUMIF('10월'!I:I, A26, '10월'!J:J),SUMIF('11월'!I:I, A26, '11월'!J:J),SUMIF('12월'!I:I, A26, '12월'!J:J))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SUM(SUMIF('1월'!I:I, A27, '1월'!J:J),SUMIF('2월'!I:I, A27, '2월'!J:J),SUMIF('3월'!I:I, A27, '3월'!J:J),SUMIF('4월'!I:I, A27, '4월'!J:J),SUMIF('5월'!I:I, A27, '5월'!J:J),SUMIF('6월'!I:I, A27, '6월'!J:J),SUMIF('7월'!I:I, A27, '7월'!J:J),SUMIF('8월'!I:I, A27, '8월'!J:J),SUMIF('9월'!I:I, A27, '9월'!J:J),SUMIF('10월'!I:I, A27, '10월'!J:J),SUMIF('11월'!I:I, A27, '11월'!J:J),SUMIF('12월'!I:I, A27, '12월'!J:J))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SUM(SUMIF('1월'!I:I, A28, '1월'!J:J),SUMIF('2월'!I:I, A28, '2월'!J:J),SUMIF('3월'!I:I, A28, '3월'!J:J),SUMIF('4월'!I:I, A28, '4월'!J:J),SUMIF('5월'!I:I, A28, '5월'!J:J),SUMIF('6월'!I:I, A28, '6월'!J:J),SUMIF('7월'!I:I, A28, '7월'!J:J),SUMIF('8월'!I:I, A28, '8월'!J:J),SUMIF('9월'!I:I, A28, '9월'!J:J),SUMIF('10월'!I:I, A28, '10월'!J:J),SUMIF('11월'!I:I, A28, '11월'!J:J),SUMIF('12월'!I:I, A28, '12월'!J:J))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SUM(SUMIF('1월'!I:I, A29, '1월'!J:J),SUMIF('2월'!I:I, A29, '2월'!J:J),SUMIF('3월'!I:I, A29, '3월'!J:J),SUMIF('4월'!I:I, A29, '4월'!J:J),SUMIF('5월'!I:I, A29, '5월'!J:J),SUMIF('6월'!I:I, A29, '6월'!J:J),SUMIF('7월'!I:I, A29, '7월'!J:J),SUMIF('8월'!I:I, A29, '8월'!J:J),SUMIF('9월'!I:I, A29, '9월'!J:J),SUMIF('10월'!I:I, A29, '10월'!J:J),SUMIF('11월'!I:I, A29, '11월'!J:J),SUMIF('12월'!I:I, A29, '12월'!J:J))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SUM(SUMIF('1월'!I:I, A30, '1월'!J:J),SUMIF('2월'!I:I, A30, '2월'!J:J),SUMIF('3월'!I:I, A30, '3월'!J:J),SUMIF('4월'!I:I, A30, '4월'!J:J),SUMIF('5월'!I:I, A30, '5월'!J:J),SUMIF('6월'!I:I, A30, '6월'!J:J),SUMIF('7월'!I:I, A30, '7월'!J:J),SUMIF('8월'!I:I, A30, '8월'!J:J),SUMIF('9월'!I:I, A30, '9월'!J:J),SUMIF('10월'!I:I, A30, '10월'!J:J),SUMIF('11월'!I:I, A30, '11월'!J:J),SUMIF('12월'!I:I, A30, '12월'!J:J))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R37"/>
  <sheetViews>
    <sheetView tabSelected="1" workbookViewId="0">
      <selection activeCell="P14" sqref="P14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.625" style="22" customWidth="1"/>
    <col min="13" max="15" width="7.375" style="2" customWidth="1"/>
    <col min="16" max="16" width="9.25" style="2" customWidth="1"/>
    <col min="17" max="17" width="11.25" style="2" bestFit="1" customWidth="1"/>
    <col min="18" max="18" width="7.375" style="2" customWidth="1"/>
    <col min="19" max="16384" width="9" style="2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L1"/>
      <c r="M1"/>
      <c r="N1"/>
      <c r="O1"/>
      <c r="P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6"/>
      <c r="L2" s="21"/>
      <c r="M2"/>
      <c r="N2"/>
      <c r="O2"/>
      <c r="P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H3" s="6"/>
      <c r="L3" s="21"/>
      <c r="M3"/>
      <c r="N3"/>
      <c r="O3"/>
      <c r="P3" s="59"/>
      <c r="Q3"/>
      <c r="R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L4" s="21"/>
      <c r="M4"/>
      <c r="N4"/>
      <c r="O4"/>
      <c r="P4"/>
      <c r="Q4"/>
      <c r="R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L5"/>
      <c r="M5"/>
      <c r="N5"/>
      <c r="O5"/>
      <c r="P5"/>
      <c r="Q5"/>
      <c r="R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4.3055555555555514E-2</v>
      </c>
      <c r="F6" s="8">
        <f>IF($B6="휴일",IF(설정!$B$6="예",IF(ROUND($E6*86400,0)&gt;=3660,1,0),0),IF(ISBLANK(C6),0,IF(C6&lt;=TIME(7,59,59),1,0)))</f>
        <v>1</v>
      </c>
      <c r="G6" s="8">
        <f t="shared" si="0"/>
        <v>1</v>
      </c>
      <c r="H6" s="6"/>
      <c r="L6"/>
      <c r="M6"/>
      <c r="N6"/>
      <c r="O6"/>
      <c r="P6"/>
      <c r="Q6"/>
      <c r="R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4.166666666666663E-2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L7"/>
      <c r="M7"/>
      <c r="N7"/>
      <c r="O7"/>
      <c r="P7"/>
      <c r="Q7"/>
      <c r="R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L8"/>
      <c r="M8"/>
      <c r="N8"/>
      <c r="O8"/>
      <c r="P8"/>
      <c r="Q8"/>
      <c r="R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L9"/>
      <c r="M9"/>
      <c r="N9"/>
      <c r="O9"/>
      <c r="P9"/>
      <c r="Q9"/>
      <c r="R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>
        <v>0.25</v>
      </c>
      <c r="D10" s="19">
        <v>0.95833333333333337</v>
      </c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0.29166666666666669</v>
      </c>
      <c r="F10" s="8">
        <f>IF($B10="휴일",IF(설정!$B$6="예",IF(ROUND($E10*86400,0)&gt;=3660,1,0),0),IF(ISBLANK(C10),0,IF(C10&lt;=TIME(7,59,59),1,0)))</f>
        <v>1</v>
      </c>
      <c r="G10" s="8">
        <f t="shared" si="0"/>
        <v>1</v>
      </c>
      <c r="H10" s="6"/>
      <c r="L10"/>
      <c r="M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19">
        <v>0.25</v>
      </c>
      <c r="D11" s="19">
        <v>0.95833333333333337</v>
      </c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0.16666666666666666</v>
      </c>
      <c r="F11" s="8">
        <f>IF($B11="휴일",IF(설정!$B$6="예",IF(ROUND($E11*86400,0)&gt;=3660,1,0),0),IF(ISBLANK(C11),0,IF(C11&lt;=TIME(7,59,59),1,0)))</f>
        <v>1</v>
      </c>
      <c r="G11" s="8">
        <f t="shared" si="0"/>
        <v>0</v>
      </c>
      <c r="H11" s="6"/>
      <c r="L11"/>
      <c r="M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L12"/>
      <c r="M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L13"/>
      <c r="M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L14"/>
      <c r="M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L15"/>
      <c r="M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L16"/>
      <c r="M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L17"/>
      <c r="M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L18"/>
      <c r="M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</row>
    <row r="33" spans="1:8">
      <c r="A33" s="6"/>
      <c r="B33" s="55"/>
      <c r="C33" s="5"/>
      <c r="D33" s="11" t="s">
        <v>5</v>
      </c>
      <c r="E33" s="13">
        <f>SUM(E2:E32)</f>
        <v>0.54305555555555551</v>
      </c>
      <c r="F33" s="6" t="s">
        <v>7</v>
      </c>
      <c r="G33" s="14">
        <f>MIN(SUM(F2:G32),MAX(0,VALUE(설정!$B$7)))</f>
        <v>5</v>
      </c>
      <c r="H33"/>
    </row>
    <row r="34" spans="1:8">
      <c r="A34" s="6"/>
      <c r="B34" s="55"/>
      <c r="C34" s="6"/>
      <c r="D34" s="1" t="s">
        <v>6</v>
      </c>
      <c r="E34" s="12">
        <f>MAX(0, ((설정!$B$3*60) - (E33*1440)) / 1440)</f>
        <v>1.4986111111111111</v>
      </c>
      <c r="F34" s="1" t="s">
        <v>6</v>
      </c>
      <c r="G34" s="7">
        <f>MAX(0,MAX(0,VALUE(설정!$B$7))-G33)</f>
        <v>15</v>
      </c>
      <c r="H34"/>
    </row>
    <row r="35" spans="1:8">
      <c r="D35" s="2" t="s">
        <v>8</v>
      </c>
      <c r="E35" s="12">
        <f>IF(SUM(E2:E32)&gt;(설정!$B$3/24),(SUM(E2:E32)-(설정!$B$3/24)),0)</f>
        <v>0</v>
      </c>
      <c r="F35" s="2" t="s">
        <v>8</v>
      </c>
      <c r="G35" s="18">
        <f>MAX(0,SUM(F2:G32)-MAX(0,VALUE(설정!$B$7)))</f>
        <v>0</v>
      </c>
      <c r="H35"/>
    </row>
    <row r="36" spans="1:8">
      <c r="D36" s="1" t="s">
        <v>32</v>
      </c>
      <c r="E36" s="2">
        <f>IF(설정!$B$6&lt;&gt;"아니오",0,COUNTIFS($B$2:$B$32,"휴일",$C$2:$C$32,"&lt;&gt;"))</f>
        <v>0</v>
      </c>
      <c r="G36" s="2">
        <f>SUM(F2:G32)</f>
        <v>5</v>
      </c>
      <c r="H36"/>
    </row>
    <row r="37" spans="1:8">
      <c r="E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3" customWidth="1"/>
    <col min="10" max="10" width="9.625" style="35" customWidth="1"/>
    <col min="11" max="11" width="9.625" style="2" customWidth="1"/>
    <col min="12" max="12" width="9" style="22"/>
    <col min="13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6"/>
      <c r="M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0" si="0">IF($B3="휴일",0,IF(ISBLANK(D3),0,IF(D3&gt;=TIME(19,1,0),1,0)))</f>
        <v>0</v>
      </c>
      <c r="H3" s="6"/>
      <c r="M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L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L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L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L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L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L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L10" s="23"/>
      <c r="M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L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L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L13" s="23"/>
      <c r="M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L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L15" s="23"/>
      <c r="M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L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L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 t="s">
        <v>65</v>
      </c>
      <c r="L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L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L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L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L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L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L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L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L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L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L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30"/>
      <c r="L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5"/>
      <c r="L30" s="23"/>
    </row>
    <row r="31" spans="1:12">
      <c r="A31" s="6"/>
      <c r="B31" s="55"/>
      <c r="C31" s="5"/>
      <c r="D31" s="11" t="s">
        <v>5</v>
      </c>
      <c r="E31" s="13">
        <f>SUM(E2:E30)</f>
        <v>0</v>
      </c>
      <c r="F31" s="6" t="s">
        <v>7</v>
      </c>
      <c r="G31" s="14">
        <f>MIN(SUM(F2:G30),MAX(0,VALUE(설정!$B$7)))</f>
        <v>0</v>
      </c>
      <c r="H31"/>
      <c r="K31" s="6"/>
      <c r="L31" s="23"/>
    </row>
    <row r="32" spans="1:12">
      <c r="A32" s="6"/>
      <c r="B32" s="55"/>
      <c r="C32" s="6"/>
      <c r="D32" s="1" t="s">
        <v>6</v>
      </c>
      <c r="E32" s="12">
        <f>MAX(0, ((설정!$B$3*60) - (E31*1440)) / 1440)</f>
        <v>2.0416666666666665</v>
      </c>
      <c r="F32" s="1" t="s">
        <v>6</v>
      </c>
      <c r="G32" s="7">
        <f>MAX(0,MAX(0,VALUE(설정!$B$7))-G31)</f>
        <v>20</v>
      </c>
      <c r="H32"/>
      <c r="K32" s="6"/>
      <c r="L32" s="23"/>
    </row>
    <row r="33" spans="4:8">
      <c r="D33" s="2" t="s">
        <v>8</v>
      </c>
      <c r="E33" s="12">
        <f>IF(SUM(E2:E30)&gt;(설정!$B$3/24), (SUM(E2:E30)-(설정!$B$3/24)), 0)</f>
        <v>0</v>
      </c>
      <c r="F33" s="2" t="s">
        <v>8</v>
      </c>
      <c r="G33" s="18">
        <f>MAX(0,SUM(F2:G30)-MAX(0,VALUE(설정!$B$7)))</f>
        <v>0</v>
      </c>
      <c r="H33"/>
    </row>
    <row r="34" spans="4:8">
      <c r="D34" s="1" t="s">
        <v>32</v>
      </c>
      <c r="E34" s="2">
        <f>IF(설정!$B$6&lt;&gt;"아니오",0,COUNTIFS($B$2:$B$30,"휴일",$C$2:$C$30,"&lt;&gt;"))</f>
        <v>0</v>
      </c>
      <c r="G34" s="6">
        <f>SUM(F2:G30)</f>
        <v>0</v>
      </c>
      <c r="H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37"/>
  <sheetViews>
    <sheetView workbookViewId="0">
      <selection activeCell="K8" sqref="K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1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3"/>
      <c r="J2" s="35"/>
      <c r="K2" s="63" t="s">
        <v>12</v>
      </c>
      <c r="L2" s="70">
        <f>'1월'!$E$33</f>
        <v>0.54305555555555551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H3" s="2" t="s">
        <v>66</v>
      </c>
      <c r="I3" s="33"/>
      <c r="J3" s="35"/>
      <c r="K3" s="63" t="s">
        <v>81</v>
      </c>
      <c r="L3" s="70">
        <f>'2월'!$E$31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82</v>
      </c>
      <c r="L4" s="70">
        <f>'3월'!$E$33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0.54305555555555551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 t="s">
        <v>95</v>
      </c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5"/>
      <c r="I10" s="33"/>
      <c r="J10" s="35"/>
      <c r="K10" s="23"/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45"/>
      <c r="I23" s="33"/>
      <c r="J23" s="35"/>
      <c r="K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45"/>
      <c r="I30" s="33"/>
      <c r="J30" s="35"/>
      <c r="K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2.0416666666666665</v>
      </c>
      <c r="F34" s="1" t="s">
        <v>6</v>
      </c>
      <c r="G34" s="7">
        <f>MAX(0,MAX(0,VALUE(설정!$B$7))-G33)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9" priority="1">
      <formula>AND($A2&lt;&gt;"",$B2="휴일")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H2" s="73"/>
      <c r="I2" s="36"/>
      <c r="J2" s="35"/>
      <c r="L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H3" s="74"/>
      <c r="I3" s="37"/>
      <c r="J3" s="35"/>
      <c r="L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74"/>
      <c r="I4" s="33"/>
      <c r="J4" s="35"/>
      <c r="K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74"/>
      <c r="I5" s="33"/>
      <c r="J5" s="35"/>
      <c r="K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74"/>
      <c r="I6" s="33"/>
      <c r="J6" s="35"/>
      <c r="K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74"/>
      <c r="I7" s="33"/>
      <c r="J7" s="35"/>
      <c r="K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74"/>
      <c r="I8" s="33"/>
      <c r="J8" s="35"/>
      <c r="K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74"/>
      <c r="I9" s="33"/>
      <c r="J9" s="35"/>
      <c r="K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74"/>
      <c r="I10" s="33"/>
      <c r="J10" s="35"/>
      <c r="K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74"/>
      <c r="I11" s="33"/>
      <c r="J11" s="35"/>
      <c r="K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74"/>
      <c r="I12" s="33"/>
      <c r="J12" s="35"/>
      <c r="K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74"/>
      <c r="I13" s="33"/>
      <c r="J13" s="35"/>
      <c r="K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74"/>
      <c r="I14" s="33"/>
      <c r="J14" s="35"/>
      <c r="K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74"/>
      <c r="I15" s="33"/>
      <c r="J15" s="35"/>
      <c r="K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74"/>
      <c r="I16" s="33"/>
      <c r="J16" s="35"/>
      <c r="K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74"/>
      <c r="I17" s="33"/>
      <c r="J17" s="35"/>
      <c r="K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74"/>
      <c r="I18" s="33"/>
      <c r="J18" s="35"/>
      <c r="K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74"/>
      <c r="I19" s="33"/>
      <c r="J19" s="35"/>
      <c r="K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74"/>
      <c r="I20" s="33"/>
      <c r="J20" s="35"/>
      <c r="K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74"/>
      <c r="I21" s="33"/>
      <c r="J21" s="35"/>
      <c r="K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74"/>
      <c r="I22" s="33"/>
      <c r="J22" s="35"/>
      <c r="K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74"/>
      <c r="I23" s="33"/>
      <c r="J23" s="35"/>
      <c r="K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74"/>
      <c r="I24" s="33"/>
      <c r="J24" s="35"/>
      <c r="K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74"/>
      <c r="I25" s="33"/>
      <c r="J25" s="35"/>
      <c r="K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74"/>
      <c r="I26" s="33"/>
      <c r="J26" s="35"/>
      <c r="K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74"/>
      <c r="I27" s="33"/>
      <c r="J27" s="35"/>
      <c r="K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74"/>
      <c r="I28" s="33"/>
      <c r="J28" s="35"/>
      <c r="K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2.0416666666666665</v>
      </c>
      <c r="F33" s="1" t="s">
        <v>6</v>
      </c>
      <c r="G33" s="7">
        <f>MAX(0,MAX(0,VALUE(설정!$B$7))-G32)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mergeCells count="1">
    <mergeCell ref="H2:H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42"/>
      <c r="I4" s="33"/>
      <c r="J4" s="35"/>
      <c r="K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45"/>
      <c r="I5" s="33"/>
      <c r="J5" s="35"/>
      <c r="K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42" t="s">
        <v>67</v>
      </c>
      <c r="I6" s="33"/>
      <c r="J6" s="35"/>
      <c r="K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2"/>
      <c r="I7" s="33"/>
      <c r="J7" s="35"/>
      <c r="K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66</v>
      </c>
      <c r="I26" s="33"/>
      <c r="J26" s="35"/>
      <c r="K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2.0416666666666665</v>
      </c>
      <c r="F34" s="1" t="s">
        <v>6</v>
      </c>
      <c r="G34" s="7">
        <f>MAX(0,MAX(0,VALUE(설정!$B$7))-G33)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36"/>
  <sheetViews>
    <sheetView workbookViewId="0">
      <selection activeCell="M23" sqref="M2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86</v>
      </c>
      <c r="L2" s="70">
        <f>'4월'!$E$32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87</v>
      </c>
      <c r="L3" s="70">
        <f>'5월'!$E$33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 t="s">
        <v>68</v>
      </c>
      <c r="I4" s="37"/>
      <c r="J4" s="35"/>
      <c r="K4" s="63" t="s">
        <v>88</v>
      </c>
      <c r="L4" s="70">
        <f>'6월'!$E$32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2"/>
      <c r="I8" s="33"/>
      <c r="J8" s="35"/>
      <c r="K8" s="23" t="s">
        <v>95</v>
      </c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42"/>
      <c r="I15" s="33"/>
      <c r="J15" s="35"/>
      <c r="K15" s="23"/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I16" s="33"/>
      <c r="J16" s="35"/>
      <c r="K16" s="23"/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I19" s="33"/>
      <c r="J19" s="35"/>
      <c r="K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42"/>
      <c r="I22" s="33"/>
      <c r="J22" s="35"/>
      <c r="K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42"/>
      <c r="I30" s="33"/>
      <c r="J30" s="35"/>
      <c r="K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2.0416666666666665</v>
      </c>
      <c r="F33" s="1" t="s">
        <v>6</v>
      </c>
      <c r="G33" s="7">
        <f>MAX(0,MAX(0,VALUE(설정!$B$7))-G32)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6" priority="1">
      <formula>AND($A2&lt;&gt;"",$B2="휴일")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M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3"/>
      <c r="I7" s="33"/>
      <c r="J7" s="35"/>
      <c r="K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  <c r="M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43"/>
      <c r="I27" s="33"/>
      <c r="J27" s="35"/>
      <c r="K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43"/>
      <c r="I28" s="33"/>
      <c r="J28" s="35"/>
      <c r="K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2.0416666666666665</v>
      </c>
      <c r="F34" s="1" t="s">
        <v>6</v>
      </c>
      <c r="G34" s="7">
        <f>MAX(0,MAX(0,VALUE(설정!$B$7))-G33)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O37"/>
  <sheetViews>
    <sheetView workbookViewId="0">
      <selection activeCell="N15" sqref="N15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6"/>
      <c r="J3" s="35"/>
      <c r="L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>
        <v>0.375</v>
      </c>
      <c r="D4" s="19">
        <v>0.75</v>
      </c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45"/>
      <c r="I11" s="33"/>
      <c r="J11" s="35"/>
      <c r="K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  <c r="O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45"/>
      <c r="I16" s="33"/>
      <c r="J16" s="35"/>
      <c r="K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45"/>
      <c r="I17" s="33"/>
      <c r="J17" s="35"/>
      <c r="K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45" t="s">
        <v>66</v>
      </c>
      <c r="I18" s="33"/>
      <c r="J18" s="35"/>
      <c r="K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45"/>
      <c r="I24" s="33"/>
      <c r="J24" s="35"/>
      <c r="K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45"/>
      <c r="I25" s="33"/>
      <c r="J25" s="35"/>
      <c r="K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I26" s="33"/>
      <c r="J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2.0416666666666665</v>
      </c>
      <c r="F34" s="1" t="s">
        <v>6</v>
      </c>
      <c r="G34" s="7">
        <f>MAX(0,MAX(0,VALUE(설정!$B$7))-G33)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L36"/>
  <sheetViews>
    <sheetView workbookViewId="0">
      <selection activeCell="L17" sqref="L17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89</v>
      </c>
      <c r="L2" s="70">
        <f>'7월'!$E$33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35"/>
      <c r="K3" s="63" t="s">
        <v>90</v>
      </c>
      <c r="L3" s="70">
        <f>'8월'!$E$33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91</v>
      </c>
      <c r="L4" s="70">
        <f>'9월'!$E$32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47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7"/>
      <c r="I8" s="33"/>
      <c r="J8" s="35"/>
      <c r="K8" s="23" t="s">
        <v>95</v>
      </c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8"/>
      <c r="I10" s="33"/>
      <c r="J10" s="35"/>
      <c r="K10" s="23"/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47"/>
      <c r="I14" s="33"/>
      <c r="J14" s="35"/>
      <c r="K14" s="23"/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47"/>
      <c r="I15" s="33"/>
      <c r="J15" s="35"/>
      <c r="K15" s="23"/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46"/>
      <c r="I17" s="33"/>
      <c r="J17" s="35"/>
      <c r="K17" s="23"/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46"/>
      <c r="I18" s="33"/>
      <c r="J18" s="35"/>
      <c r="K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46"/>
      <c r="I19" s="33"/>
      <c r="J19" s="35"/>
      <c r="K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46"/>
      <c r="I22" s="33"/>
      <c r="J22" s="35"/>
      <c r="K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69</v>
      </c>
      <c r="I26" s="33"/>
      <c r="J26" s="35"/>
      <c r="K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2.0416666666666665</v>
      </c>
      <c r="F33" s="1" t="s">
        <v>6</v>
      </c>
      <c r="G33" s="7">
        <f>MAX(0,MAX(0,VALUE(설정!$B$7))-G32)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3" priority="1">
      <formula>AND($A2&lt;&gt;"",$B2="휴일")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L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L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49"/>
      <c r="I4" s="33"/>
      <c r="J4" s="35"/>
      <c r="K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49"/>
      <c r="I5" s="33"/>
      <c r="J5" s="35"/>
      <c r="K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 t="s">
        <v>66</v>
      </c>
      <c r="I6" s="33"/>
      <c r="J6" s="35"/>
      <c r="K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49"/>
      <c r="I8" s="33"/>
      <c r="J8" s="35"/>
      <c r="K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49"/>
      <c r="I9" s="33"/>
      <c r="J9" s="35"/>
      <c r="K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49" t="s">
        <v>70</v>
      </c>
      <c r="I10" s="33"/>
      <c r="J10" s="35"/>
      <c r="K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49"/>
      <c r="I19" s="33"/>
      <c r="J19" s="35"/>
      <c r="K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49"/>
      <c r="I20" s="33"/>
      <c r="J20" s="35"/>
      <c r="K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2.0416666666666665</v>
      </c>
      <c r="F34" s="1" t="s">
        <v>6</v>
      </c>
      <c r="G34" s="7">
        <f>MAX(0,MAX(0,VALUE(설정!$B$7))-G33)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L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L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1" si="0">IF($B3="휴일",0,IF(ISBLANK(D3),0,IF(D3&gt;=TIME(19,1,0),1,0)))</f>
        <v>0</v>
      </c>
      <c r="I3" s="37"/>
      <c r="J3" s="54"/>
      <c r="L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50"/>
      <c r="I16" s="33"/>
      <c r="J16" s="35"/>
      <c r="K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50"/>
      <c r="I17" s="33"/>
      <c r="J17" s="35"/>
      <c r="K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51"/>
      <c r="I23" s="33"/>
      <c r="J23" s="35"/>
      <c r="K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50"/>
      <c r="I24" s="33"/>
      <c r="J24" s="35"/>
      <c r="K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/>
      <c r="I26" s="33"/>
      <c r="J26" s="35"/>
      <c r="K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50"/>
      <c r="I30" s="33"/>
      <c r="J30" s="35"/>
      <c r="K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50"/>
      <c r="I31" s="33"/>
      <c r="J31" s="35"/>
      <c r="K31" s="23"/>
    </row>
    <row r="32" spans="1:11">
      <c r="A32" s="6"/>
      <c r="B32" s="55"/>
      <c r="C32" s="5"/>
      <c r="D32" s="11" t="s">
        <v>5</v>
      </c>
      <c r="E32" s="13">
        <f>SUM(E2:E31)</f>
        <v>0</v>
      </c>
      <c r="F32" s="6" t="s">
        <v>7</v>
      </c>
      <c r="G32" s="14">
        <f>MIN(SUM(F2:G31),MAX(0,VALUE(설정!$B$7)))</f>
        <v>0</v>
      </c>
      <c r="K32" s="23"/>
    </row>
    <row r="33" spans="1:11">
      <c r="A33" s="6"/>
      <c r="B33" s="55"/>
      <c r="C33" s="6"/>
      <c r="D33" s="1" t="s">
        <v>6</v>
      </c>
      <c r="E33" s="12">
        <f>MAX(0, ((설정!$B$3*60) - (E32*1440)) / 1440)</f>
        <v>2.0416666666666665</v>
      </c>
      <c r="F33" s="1" t="s">
        <v>6</v>
      </c>
      <c r="G33" s="7">
        <f>MAX(0,MAX(0,VALUE(설정!$B$7))-G32)</f>
        <v>20</v>
      </c>
      <c r="H33" s="6"/>
      <c r="K33" s="23"/>
    </row>
    <row r="34" spans="1:11">
      <c r="D34" s="2" t="s">
        <v>8</v>
      </c>
      <c r="E34" s="12">
        <f>IF(SUM(E2:E31)&gt;(설정!$B$3/24), (SUM(E2:E31)-(설정!$B$3/24)), 0)</f>
        <v>0</v>
      </c>
      <c r="F34" s="2" t="s">
        <v>8</v>
      </c>
      <c r="G34" s="18">
        <f>MAX(0,SUM(F2:G31)-MAX(0,VALUE(설정!$B$7)))</f>
        <v>0</v>
      </c>
    </row>
    <row r="35" spans="1:11">
      <c r="D35" s="1" t="s">
        <v>32</v>
      </c>
      <c r="E35" s="2">
        <f>IF(설정!$B$6&lt;&gt;"아니오",0,COUNTIFS($B$2:$B$31,"휴일",$C$2:$C$31,"&lt;&gt;"))</f>
        <v>0</v>
      </c>
      <c r="G35" s="6">
        <f>SUM(F2:G31)</f>
        <v>0</v>
      </c>
    </row>
    <row r="36" spans="1:11">
      <c r="E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L37"/>
  <sheetViews>
    <sheetView workbookViewId="0">
      <selection activeCell="O21" sqref="O21"/>
    </sheetView>
  </sheetViews>
  <sheetFormatPr defaultRowHeight="16.5"/>
  <cols>
    <col min="1" max="2" width="9.625" style="2" customWidth="1"/>
    <col min="3" max="4" width="9.625" style="1" customWidth="1"/>
    <col min="5" max="7" width="9.625" style="2" customWidth="1"/>
    <col min="8" max="8" width="20.625" style="2" customWidth="1"/>
    <col min="9" max="9" width="9.625" style="38" customWidth="1"/>
    <col min="10" max="10" width="9.625" style="39" customWidth="1"/>
    <col min="11" max="11" width="9" style="22"/>
    <col min="12" max="16384" width="9" style="2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s">
        <v>2</v>
      </c>
      <c r="F1" s="15" t="s">
        <v>3</v>
      </c>
      <c r="G1" s="15" t="s">
        <v>4</v>
      </c>
      <c r="H1" s="31" t="s">
        <v>9</v>
      </c>
      <c r="I1" s="32" t="s">
        <v>29</v>
      </c>
      <c r="J1" s="34" t="s">
        <v>28</v>
      </c>
      <c r="K1" s="26" t="s">
        <v>83</v>
      </c>
      <c r="L1" s="15">
        <f>MAX(0,VALUE(설정!$B$8))</f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AND(설정!$B$6="예",$B2="휴일"),IF(OR($C2="",$D2=""),0,MIN(MAX(0,VALUE(설정!$B$2))/24,MAX(0,MIN(IF(VALUE(설정!$B$2)=4,IF(AND($D2&gt;TIME(18,0,0),$D2&lt;TIME(19,1,0)),TIME(18,0,0),$D2),$D2),설정!$B$5)-MAX(IF(VALUE(설정!$B$2)=4,IF(AND($C2&gt;=TIME(8,0,0),$C2&lt;TIME(9,0,0)),TIME(9,0,0),$C2),$C2),설정!$B$4)))),IF($B2="평일",MIN(IF(OR($C2="",$D2=""),0,MAX(0,MIN(IF(VALUE(설정!$B$2)=4,IF(AND($D2&gt;TIME(18,0,0),$D2&lt;TIME(19,1,0)),TIME(18,0,0),$D2),$D2),설정!$B$5)-MAX(IF(VALUE(설정!$B$2)=4,IF(AND($C2&gt;=TIME(8,0,0),$C2&lt;TIME(9,0,0)),TIME(9,0,0),$C2),$C2),설정!$B$4)-TIME(10,0,0))),MAX(0,VALUE(설정!$B$2))/24),0))</f>
        <v>0</v>
      </c>
      <c r="F2" s="8">
        <f>IF($B2="휴일",IF(설정!$B$6="예",IF(ROUND($E2*86400,0)&gt;=3660,1,0),0),IF(ISBLANK(C2),0,IF(C2&lt;=TIME(7,59,59),1,0)))</f>
        <v>0</v>
      </c>
      <c r="G2" s="8">
        <f>IF($B2="휴일",0,IF(ISBLANK(D2),0,IF(D2&gt;=TIME(19,1,0),1,0)))</f>
        <v>0</v>
      </c>
      <c r="I2" s="36"/>
      <c r="J2" s="35"/>
      <c r="K2" s="63" t="s">
        <v>92</v>
      </c>
      <c r="L2" s="70">
        <f>'10월'!$E$33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AND(설정!$B$6="예",$B3="휴일"),IF(OR($C3="",$D3=""),0,MIN(MAX(0,VALUE(설정!$B$2))/24,MAX(0,MIN(IF(VALUE(설정!$B$2)=4,IF(AND($D3&gt;TIME(18,0,0),$D3&lt;TIME(19,1,0)),TIME(18,0,0),$D3),$D3),설정!$B$5)-MAX(IF(VALUE(설정!$B$2)=4,IF(AND($C3&gt;=TIME(8,0,0),$C3&lt;TIME(9,0,0)),TIME(9,0,0),$C3),$C3),설정!$B$4)))),IF($B3="평일",MIN(IF(OR($C3="",$D3=""),0,MAX(0,MIN(IF(VALUE(설정!$B$2)=4,IF(AND($D3&gt;TIME(18,0,0),$D3&lt;TIME(19,1,0)),TIME(18,0,0),$D3),$D3),설정!$B$5)-MAX(IF(VALUE(설정!$B$2)=4,IF(AND($C3&gt;=TIME(8,0,0),$C3&lt;TIME(9,0,0)),TIME(9,0,0),$C3),$C3),설정!$B$4)-TIME(10,0,0))),MAX(0,VALUE(설정!$B$2))/24),0))</f>
        <v>0</v>
      </c>
      <c r="F3" s="8">
        <f>IF($B3="휴일",IF(설정!$B$6="예",IF(ROUND($E3*86400,0)&gt;=3660,1,0),0),IF(ISBLANK(C3),0,IF(C3&lt;=TIME(7,59,59),1,0)))</f>
        <v>0</v>
      </c>
      <c r="G3" s="8">
        <f t="shared" ref="G3:G32" si="0">IF($B3="휴일",0,IF(ISBLANK(D3),0,IF(D3&gt;=TIME(19,1,0),1,0)))</f>
        <v>0</v>
      </c>
      <c r="I3" s="37"/>
      <c r="J3" s="35"/>
      <c r="K3" s="63" t="s">
        <v>93</v>
      </c>
      <c r="L3" s="70">
        <f>'11월'!$E$32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AND(설정!$B$6="예",$B4="휴일"),IF(OR($C4="",$D4=""),0,MIN(MAX(0,VALUE(설정!$B$2))/24,MAX(0,MIN(IF(VALUE(설정!$B$2)=4,IF(AND($D4&gt;TIME(18,0,0),$D4&lt;TIME(19,1,0)),TIME(18,0,0),$D4),$D4),설정!$B$5)-MAX(IF(VALUE(설정!$B$2)=4,IF(AND($C4&gt;=TIME(8,0,0),$C4&lt;TIME(9,0,0)),TIME(9,0,0),$C4),$C4),설정!$B$4)))),IF($B4="평일",MIN(IF(OR($C4="",$D4=""),0,MAX(0,MIN(IF(VALUE(설정!$B$2)=4,IF(AND($D4&gt;TIME(18,0,0),$D4&lt;TIME(19,1,0)),TIME(18,0,0),$D4),$D4),설정!$B$5)-MAX(IF(VALUE(설정!$B$2)=4,IF(AND($C4&gt;=TIME(8,0,0),$C4&lt;TIME(9,0,0)),TIME(9,0,0),$C4),$C4),설정!$B$4)-TIME(10,0,0))),MAX(0,VALUE(설정!$B$2))/24),0))</f>
        <v>0</v>
      </c>
      <c r="F4" s="8">
        <f>IF($B4="휴일",IF(설정!$B$6="예",IF(ROUND($E4*86400,0)&gt;=3660,1,0),0),IF(ISBLANK(C4),0,IF(C4&lt;=TIME(7,59,59),1,0)))</f>
        <v>0</v>
      </c>
      <c r="G4" s="8">
        <f t="shared" si="0"/>
        <v>0</v>
      </c>
      <c r="H4" s="6"/>
      <c r="I4" s="33"/>
      <c r="J4" s="35"/>
      <c r="K4" s="63" t="s">
        <v>94</v>
      </c>
      <c r="L4" s="70">
        <f>'12월'!$E$33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AND(설정!$B$6="예",$B5="휴일"),IF(OR($C5="",$D5=""),0,MIN(MAX(0,VALUE(설정!$B$2))/24,MAX(0,MIN(IF(VALUE(설정!$B$2)=4,IF(AND($D5&gt;TIME(18,0,0),$D5&lt;TIME(19,1,0)),TIME(18,0,0),$D5),$D5),설정!$B$5)-MAX(IF(VALUE(설정!$B$2)=4,IF(AND($C5&gt;=TIME(8,0,0),$C5&lt;TIME(9,0,0)),TIME(9,0,0),$C5),$C5),설정!$B$4)))),IF($B5="평일",MIN(IF(OR($C5="",$D5=""),0,MAX(0,MIN(IF(VALUE(설정!$B$2)=4,IF(AND($D5&gt;TIME(18,0,0),$D5&lt;TIME(19,1,0)),TIME(18,0,0),$D5),$D5),설정!$B$5)-MAX(IF(VALUE(설정!$B$2)=4,IF(AND($C5&gt;=TIME(8,0,0),$C5&lt;TIME(9,0,0)),TIME(9,0,0),$C5),$C5),설정!$B$4)-TIME(10,0,0))),MAX(0,VALUE(설정!$B$2))/24),0))</f>
        <v>0</v>
      </c>
      <c r="F5" s="8">
        <f>IF($B5="휴일",IF(설정!$B$6="예",IF(ROUND($E5*86400,0)&gt;=3660,1,0),0),IF(ISBLANK(C5),0,IF(C5&lt;=TIME(7,59,59),1,0)))</f>
        <v>0</v>
      </c>
      <c r="G5" s="8">
        <f t="shared" si="0"/>
        <v>0</v>
      </c>
      <c r="H5" s="6"/>
      <c r="I5" s="33"/>
      <c r="J5" s="35"/>
      <c r="K5" s="64" t="s">
        <v>5</v>
      </c>
      <c r="L5" s="65">
        <f>SUM(L2:L4)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AND(설정!$B$6="예",$B6="휴일"),IF(OR($C6="",$D6=""),0,MIN(MAX(0,VALUE(설정!$B$2))/24,MAX(0,MIN(IF(VALUE(설정!$B$2)=4,IF(AND($D6&gt;TIME(18,0,0),$D6&lt;TIME(19,1,0)),TIME(18,0,0),$D6),$D6),설정!$B$5)-MAX(IF(VALUE(설정!$B$2)=4,IF(AND($C6&gt;=TIME(8,0,0),$C6&lt;TIME(9,0,0)),TIME(9,0,0),$C6),$C6),설정!$B$4)))),IF($B6="평일",MIN(IF(OR($C6="",$D6=""),0,MAX(0,MIN(IF(VALUE(설정!$B$2)=4,IF(AND($D6&gt;TIME(18,0,0),$D6&lt;TIME(19,1,0)),TIME(18,0,0),$D6),$D6),설정!$B$5)-MAX(IF(VALUE(설정!$B$2)=4,IF(AND($C6&gt;=TIME(8,0,0),$C6&lt;TIME(9,0,0)),TIME(9,0,0),$C6),$C6),설정!$B$4)-TIME(10,0,0))),MAX(0,VALUE(설정!$B$2))/24),0))</f>
        <v>0</v>
      </c>
      <c r="F6" s="8">
        <f>IF($B6="휴일",IF(설정!$B$6="예",IF(ROUND($E6*86400,0)&gt;=3660,1,0),0),IF(ISBLANK(C6),0,IF(C6&lt;=TIME(7,59,59),1,0)))</f>
        <v>0</v>
      </c>
      <c r="G6" s="8">
        <f t="shared" si="0"/>
        <v>0</v>
      </c>
      <c r="H6" s="6"/>
      <c r="I6" s="33"/>
      <c r="J6" s="35"/>
      <c r="K6" s="66" t="s">
        <v>84</v>
      </c>
      <c r="L6" s="67">
        <f>MAX(0,(MAX(0,VALUE(설정!$B$8))/24)-L5)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AND(설정!$B$6="예",$B7="휴일"),IF(OR($C7="",$D7=""),0,MIN(MAX(0,VALUE(설정!$B$2))/24,MAX(0,MIN(IF(VALUE(설정!$B$2)=4,IF(AND($D7&gt;TIME(18,0,0),$D7&lt;TIME(19,1,0)),TIME(18,0,0),$D7),$D7),설정!$B$5)-MAX(IF(VALUE(설정!$B$2)=4,IF(AND($C7&gt;=TIME(8,0,0),$C7&lt;TIME(9,0,0)),TIME(9,0,0),$C7),$C7),설정!$B$4)))),IF($B7="평일",MIN(IF(OR($C7="",$D7=""),0,MAX(0,MIN(IF(VALUE(설정!$B$2)=4,IF(AND($D7&gt;TIME(18,0,0),$D7&lt;TIME(19,1,0)),TIME(18,0,0),$D7),$D7),설정!$B$5)-MAX(IF(VALUE(설정!$B$2)=4,IF(AND($C7&gt;=TIME(8,0,0),$C7&lt;TIME(9,0,0)),TIME(9,0,0),$C7),$C7),설정!$B$4)-TIME(10,0,0))),MAX(0,VALUE(설정!$B$2))/24),0))</f>
        <v>0</v>
      </c>
      <c r="F7" s="8">
        <f>IF($B7="휴일",IF(설정!$B$6="예",IF(ROUND($E7*86400,0)&gt;=3660,1,0),0),IF(ISBLANK(C7),0,IF(C7&lt;=TIME(7,59,59),1,0)))</f>
        <v>0</v>
      </c>
      <c r="G7" s="8">
        <f t="shared" si="0"/>
        <v>0</v>
      </c>
      <c r="H7" s="6"/>
      <c r="I7" s="33"/>
      <c r="J7" s="35"/>
      <c r="K7" s="68" t="s">
        <v>85</v>
      </c>
      <c r="L7" s="69">
        <f>MAX(0,L5-(MAX(0,VALUE(설정!$B$8))/24))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AND(설정!$B$6="예",$B8="휴일"),IF(OR($C8="",$D8=""),0,MIN(MAX(0,VALUE(설정!$B$2))/24,MAX(0,MIN(IF(VALUE(설정!$B$2)=4,IF(AND($D8&gt;TIME(18,0,0),$D8&lt;TIME(19,1,0)),TIME(18,0,0),$D8),$D8),설정!$B$5)-MAX(IF(VALUE(설정!$B$2)=4,IF(AND($C8&gt;=TIME(8,0,0),$C8&lt;TIME(9,0,0)),TIME(9,0,0),$C8),$C8),설정!$B$4)))),IF($B8="평일",MIN(IF(OR($C8="",$D8=""),0,MAX(0,MIN(IF(VALUE(설정!$B$2)=4,IF(AND($D8&gt;TIME(18,0,0),$D8&lt;TIME(19,1,0)),TIME(18,0,0),$D8),$D8),설정!$B$5)-MAX(IF(VALUE(설정!$B$2)=4,IF(AND($C8&gt;=TIME(8,0,0),$C8&lt;TIME(9,0,0)),TIME(9,0,0),$C8),$C8),설정!$B$4)-TIME(10,0,0))),MAX(0,VALUE(설정!$B$2))/24),0))</f>
        <v>0</v>
      </c>
      <c r="F8" s="8">
        <f>IF($B8="휴일",IF(설정!$B$6="예",IF(ROUND($E8*86400,0)&gt;=3660,1,0),0),IF(ISBLANK(C8),0,IF(C8&lt;=TIME(7,59,59),1,0)))</f>
        <v>0</v>
      </c>
      <c r="G8" s="8">
        <f t="shared" si="0"/>
        <v>0</v>
      </c>
      <c r="H8" s="6"/>
      <c r="I8" s="33"/>
      <c r="J8" s="35"/>
      <c r="K8" s="23" t="s">
        <v>95</v>
      </c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AND(설정!$B$6="예",$B9="휴일"),IF(OR($C9="",$D9=""),0,MIN(MAX(0,VALUE(설정!$B$2))/24,MAX(0,MIN(IF(VALUE(설정!$B$2)=4,IF(AND($D9&gt;TIME(18,0,0),$D9&lt;TIME(19,1,0)),TIME(18,0,0),$D9),$D9),설정!$B$5)-MAX(IF(VALUE(설정!$B$2)=4,IF(AND($C9&gt;=TIME(8,0,0),$C9&lt;TIME(9,0,0)),TIME(9,0,0),$C9),$C9),설정!$B$4)))),IF($B9="평일",MIN(IF(OR($C9="",$D9=""),0,MAX(0,MIN(IF(VALUE(설정!$B$2)=4,IF(AND($D9&gt;TIME(18,0,0),$D9&lt;TIME(19,1,0)),TIME(18,0,0),$D9),$D9),설정!$B$5)-MAX(IF(VALUE(설정!$B$2)=4,IF(AND($C9&gt;=TIME(8,0,0),$C9&lt;TIME(9,0,0)),TIME(9,0,0),$C9),$C9),설정!$B$4)-TIME(10,0,0))),MAX(0,VALUE(설정!$B$2))/24),0))</f>
        <v>0</v>
      </c>
      <c r="F9" s="8">
        <f>IF($B9="휴일",IF(설정!$B$6="예",IF(ROUND($E9*86400,0)&gt;=3660,1,0),0),IF(ISBLANK(C9),0,IF(C9&lt;=TIME(7,59,59),1,0)))</f>
        <v>0</v>
      </c>
      <c r="G9" s="8">
        <f t="shared" si="0"/>
        <v>0</v>
      </c>
      <c r="H9" s="6"/>
      <c r="I9" s="33"/>
      <c r="J9" s="35"/>
      <c r="K9" s="23"/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AND(설정!$B$6="예",$B10="휴일"),IF(OR($C10="",$D10=""),0,MIN(MAX(0,VALUE(설정!$B$2))/24,MAX(0,MIN(IF(VALUE(설정!$B$2)=4,IF(AND($D10&gt;TIME(18,0,0),$D10&lt;TIME(19,1,0)),TIME(18,0,0),$D10),$D10),설정!$B$5)-MAX(IF(VALUE(설정!$B$2)=4,IF(AND($C10&gt;=TIME(8,0,0),$C10&lt;TIME(9,0,0)),TIME(9,0,0),$C10),$C10),설정!$B$4)))),IF($B10="평일",MIN(IF(OR($C10="",$D10=""),0,MAX(0,MIN(IF(VALUE(설정!$B$2)=4,IF(AND($D10&gt;TIME(18,0,0),$D10&lt;TIME(19,1,0)),TIME(18,0,0),$D10),$D10),설정!$B$5)-MAX(IF(VALUE(설정!$B$2)=4,IF(AND($C10&gt;=TIME(8,0,0),$C10&lt;TIME(9,0,0)),TIME(9,0,0),$C10),$C10),설정!$B$4)-TIME(10,0,0))),MAX(0,VALUE(설정!$B$2))/24),0))</f>
        <v>0</v>
      </c>
      <c r="F10" s="8">
        <f>IF($B10="휴일",IF(설정!$B$6="예",IF(ROUND($E10*86400,0)&gt;=3660,1,0),0),IF(ISBLANK(C10),0,IF(C10&lt;=TIME(7,59,59),1,0)))</f>
        <v>0</v>
      </c>
      <c r="G10" s="8">
        <f t="shared" si="0"/>
        <v>0</v>
      </c>
      <c r="H10" s="6"/>
      <c r="I10" s="33"/>
      <c r="J10" s="35"/>
      <c r="K10" s="23"/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AND(설정!$B$6="예",$B11="휴일"),IF(OR($C11="",$D11=""),0,MIN(MAX(0,VALUE(설정!$B$2))/24,MAX(0,MIN(IF(VALUE(설정!$B$2)=4,IF(AND($D11&gt;TIME(18,0,0),$D11&lt;TIME(19,1,0)),TIME(18,0,0),$D11),$D11),설정!$B$5)-MAX(IF(VALUE(설정!$B$2)=4,IF(AND($C11&gt;=TIME(8,0,0),$C11&lt;TIME(9,0,0)),TIME(9,0,0),$C11),$C11),설정!$B$4)))),IF($B11="평일",MIN(IF(OR($C11="",$D11=""),0,MAX(0,MIN(IF(VALUE(설정!$B$2)=4,IF(AND($D11&gt;TIME(18,0,0),$D11&lt;TIME(19,1,0)),TIME(18,0,0),$D11),$D11),설정!$B$5)-MAX(IF(VALUE(설정!$B$2)=4,IF(AND($C11&gt;=TIME(8,0,0),$C11&lt;TIME(9,0,0)),TIME(9,0,0),$C11),$C11),설정!$B$4)-TIME(10,0,0))),MAX(0,VALUE(설정!$B$2))/24),0))</f>
        <v>0</v>
      </c>
      <c r="F11" s="8">
        <f>IF($B11="휴일",IF(설정!$B$6="예",IF(ROUND($E11*86400,0)&gt;=3660,1,0),0),IF(ISBLANK(C11),0,IF(C11&lt;=TIME(7,59,59),1,0)))</f>
        <v>0</v>
      </c>
      <c r="G11" s="8">
        <f t="shared" si="0"/>
        <v>0</v>
      </c>
      <c r="H11" s="6"/>
      <c r="I11" s="33"/>
      <c r="J11" s="35"/>
      <c r="K11" s="23"/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AND(설정!$B$6="예",$B12="휴일"),IF(OR($C12="",$D12=""),0,MIN(MAX(0,VALUE(설정!$B$2))/24,MAX(0,MIN(IF(VALUE(설정!$B$2)=4,IF(AND($D12&gt;TIME(18,0,0),$D12&lt;TIME(19,1,0)),TIME(18,0,0),$D12),$D12),설정!$B$5)-MAX(IF(VALUE(설정!$B$2)=4,IF(AND($C12&gt;=TIME(8,0,0),$C12&lt;TIME(9,0,0)),TIME(9,0,0),$C12),$C12),설정!$B$4)))),IF($B12="평일",MIN(IF(OR($C12="",$D12=""),0,MAX(0,MIN(IF(VALUE(설정!$B$2)=4,IF(AND($D12&gt;TIME(18,0,0),$D12&lt;TIME(19,1,0)),TIME(18,0,0),$D12),$D12),설정!$B$5)-MAX(IF(VALUE(설정!$B$2)=4,IF(AND($C12&gt;=TIME(8,0,0),$C12&lt;TIME(9,0,0)),TIME(9,0,0),$C12),$C12),설정!$B$4)-TIME(10,0,0))),MAX(0,VALUE(설정!$B$2))/24),0))</f>
        <v>0</v>
      </c>
      <c r="F12" s="8">
        <f>IF($B12="휴일",IF(설정!$B$6="예",IF(ROUND($E12*86400,0)&gt;=3660,1,0),0),IF(ISBLANK(C12),0,IF(C12&lt;=TIME(7,59,59),1,0)))</f>
        <v>0</v>
      </c>
      <c r="G12" s="8">
        <f t="shared" si="0"/>
        <v>0</v>
      </c>
      <c r="H12" s="6"/>
      <c r="I12" s="33"/>
      <c r="J12" s="35"/>
      <c r="K12" s="23"/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AND(설정!$B$6="예",$B13="휴일"),IF(OR($C13="",$D13=""),0,MIN(MAX(0,VALUE(설정!$B$2))/24,MAX(0,MIN(IF(VALUE(설정!$B$2)=4,IF(AND($D13&gt;TIME(18,0,0),$D13&lt;TIME(19,1,0)),TIME(18,0,0),$D13),$D13),설정!$B$5)-MAX(IF(VALUE(설정!$B$2)=4,IF(AND($C13&gt;=TIME(8,0,0),$C13&lt;TIME(9,0,0)),TIME(9,0,0),$C13),$C13),설정!$B$4)))),IF($B13="평일",MIN(IF(OR($C13="",$D13=""),0,MAX(0,MIN(IF(VALUE(설정!$B$2)=4,IF(AND($D13&gt;TIME(18,0,0),$D13&lt;TIME(19,1,0)),TIME(18,0,0),$D13),$D13),설정!$B$5)-MAX(IF(VALUE(설정!$B$2)=4,IF(AND($C13&gt;=TIME(8,0,0),$C13&lt;TIME(9,0,0)),TIME(9,0,0),$C13),$C13),설정!$B$4)-TIME(10,0,0))),MAX(0,VALUE(설정!$B$2))/24),0))</f>
        <v>0</v>
      </c>
      <c r="F13" s="8">
        <f>IF($B13="휴일",IF(설정!$B$6="예",IF(ROUND($E13*86400,0)&gt;=3660,1,0),0),IF(ISBLANK(C13),0,IF(C13&lt;=TIME(7,59,59),1,0)))</f>
        <v>0</v>
      </c>
      <c r="G13" s="8">
        <f t="shared" si="0"/>
        <v>0</v>
      </c>
      <c r="H13" s="6"/>
      <c r="I13" s="33"/>
      <c r="J13" s="35"/>
      <c r="K13" s="23"/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AND(설정!$B$6="예",$B14="휴일"),IF(OR($C14="",$D14=""),0,MIN(MAX(0,VALUE(설정!$B$2))/24,MAX(0,MIN(IF(VALUE(설정!$B$2)=4,IF(AND($D14&gt;TIME(18,0,0),$D14&lt;TIME(19,1,0)),TIME(18,0,0),$D14),$D14),설정!$B$5)-MAX(IF(VALUE(설정!$B$2)=4,IF(AND($C14&gt;=TIME(8,0,0),$C14&lt;TIME(9,0,0)),TIME(9,0,0),$C14),$C14),설정!$B$4)))),IF($B14="평일",MIN(IF(OR($C14="",$D14=""),0,MAX(0,MIN(IF(VALUE(설정!$B$2)=4,IF(AND($D14&gt;TIME(18,0,0),$D14&lt;TIME(19,1,0)),TIME(18,0,0),$D14),$D14),설정!$B$5)-MAX(IF(VALUE(설정!$B$2)=4,IF(AND($C14&gt;=TIME(8,0,0),$C14&lt;TIME(9,0,0)),TIME(9,0,0),$C14),$C14),설정!$B$4)-TIME(10,0,0))),MAX(0,VALUE(설정!$B$2))/24),0))</f>
        <v>0</v>
      </c>
      <c r="F14" s="8">
        <f>IF($B14="휴일",IF(설정!$B$6="예",IF(ROUND($E14*86400,0)&gt;=3660,1,0),0),IF(ISBLANK(C14),0,IF(C14&lt;=TIME(7,59,59),1,0)))</f>
        <v>0</v>
      </c>
      <c r="G14" s="8">
        <f t="shared" si="0"/>
        <v>0</v>
      </c>
      <c r="H14" s="6"/>
      <c r="I14" s="33"/>
      <c r="J14" s="35"/>
      <c r="K14" s="23"/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AND(설정!$B$6="예",$B15="휴일"),IF(OR($C15="",$D15=""),0,MIN(MAX(0,VALUE(설정!$B$2))/24,MAX(0,MIN(IF(VALUE(설정!$B$2)=4,IF(AND($D15&gt;TIME(18,0,0),$D15&lt;TIME(19,1,0)),TIME(18,0,0),$D15),$D15),설정!$B$5)-MAX(IF(VALUE(설정!$B$2)=4,IF(AND($C15&gt;=TIME(8,0,0),$C15&lt;TIME(9,0,0)),TIME(9,0,0),$C15),$C15),설정!$B$4)))),IF($B15="평일",MIN(IF(OR($C15="",$D15=""),0,MAX(0,MIN(IF(VALUE(설정!$B$2)=4,IF(AND($D15&gt;TIME(18,0,0),$D15&lt;TIME(19,1,0)),TIME(18,0,0),$D15),$D15),설정!$B$5)-MAX(IF(VALUE(설정!$B$2)=4,IF(AND($C15&gt;=TIME(8,0,0),$C15&lt;TIME(9,0,0)),TIME(9,0,0),$C15),$C15),설정!$B$4)-TIME(10,0,0))),MAX(0,VALUE(설정!$B$2))/24),0))</f>
        <v>0</v>
      </c>
      <c r="F15" s="8">
        <f>IF($B15="휴일",IF(설정!$B$6="예",IF(ROUND($E15*86400,0)&gt;=3660,1,0),0),IF(ISBLANK(C15),0,IF(C15&lt;=TIME(7,59,59),1,0)))</f>
        <v>0</v>
      </c>
      <c r="G15" s="8">
        <f t="shared" si="0"/>
        <v>0</v>
      </c>
      <c r="H15" s="6"/>
      <c r="I15" s="33"/>
      <c r="J15" s="35"/>
      <c r="K15" s="23"/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AND(설정!$B$6="예",$B16="휴일"),IF(OR($C16="",$D16=""),0,MIN(MAX(0,VALUE(설정!$B$2))/24,MAX(0,MIN(IF(VALUE(설정!$B$2)=4,IF(AND($D16&gt;TIME(18,0,0),$D16&lt;TIME(19,1,0)),TIME(18,0,0),$D16),$D16),설정!$B$5)-MAX(IF(VALUE(설정!$B$2)=4,IF(AND($C16&gt;=TIME(8,0,0),$C16&lt;TIME(9,0,0)),TIME(9,0,0),$C16),$C16),설정!$B$4)))),IF($B16="평일",MIN(IF(OR($C16="",$D16=""),0,MAX(0,MIN(IF(VALUE(설정!$B$2)=4,IF(AND($D16&gt;TIME(18,0,0),$D16&lt;TIME(19,1,0)),TIME(18,0,0),$D16),$D16),설정!$B$5)-MAX(IF(VALUE(설정!$B$2)=4,IF(AND($C16&gt;=TIME(8,0,0),$C16&lt;TIME(9,0,0)),TIME(9,0,0),$C16),$C16),설정!$B$4)-TIME(10,0,0))),MAX(0,VALUE(설정!$B$2))/24),0))</f>
        <v>0</v>
      </c>
      <c r="F16" s="8">
        <f>IF($B16="휴일",IF(설정!$B$6="예",IF(ROUND($E16*86400,0)&gt;=3660,1,0),0),IF(ISBLANK(C16),0,IF(C16&lt;=TIME(7,59,59),1,0)))</f>
        <v>0</v>
      </c>
      <c r="G16" s="8">
        <f t="shared" si="0"/>
        <v>0</v>
      </c>
      <c r="H16" s="6"/>
      <c r="I16" s="33"/>
      <c r="J16" s="35"/>
      <c r="K16" s="23"/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AND(설정!$B$6="예",$B17="휴일"),IF(OR($C17="",$D17=""),0,MIN(MAX(0,VALUE(설정!$B$2))/24,MAX(0,MIN(IF(VALUE(설정!$B$2)=4,IF(AND($D17&gt;TIME(18,0,0),$D17&lt;TIME(19,1,0)),TIME(18,0,0),$D17),$D17),설정!$B$5)-MAX(IF(VALUE(설정!$B$2)=4,IF(AND($C17&gt;=TIME(8,0,0),$C17&lt;TIME(9,0,0)),TIME(9,0,0),$C17),$C17),설정!$B$4)))),IF($B17="평일",MIN(IF(OR($C17="",$D17=""),0,MAX(0,MIN(IF(VALUE(설정!$B$2)=4,IF(AND($D17&gt;TIME(18,0,0),$D17&lt;TIME(19,1,0)),TIME(18,0,0),$D17),$D17),설정!$B$5)-MAX(IF(VALUE(설정!$B$2)=4,IF(AND($C17&gt;=TIME(8,0,0),$C17&lt;TIME(9,0,0)),TIME(9,0,0),$C17),$C17),설정!$B$4)-TIME(10,0,0))),MAX(0,VALUE(설정!$B$2))/24),0))</f>
        <v>0</v>
      </c>
      <c r="F17" s="8">
        <f>IF($B17="휴일",IF(설정!$B$6="예",IF(ROUND($E17*86400,0)&gt;=3660,1,0),0),IF(ISBLANK(C17),0,IF(C17&lt;=TIME(7,59,59),1,0)))</f>
        <v>0</v>
      </c>
      <c r="G17" s="8">
        <f t="shared" si="0"/>
        <v>0</v>
      </c>
      <c r="H17" s="6"/>
      <c r="I17" s="33"/>
      <c r="J17" s="35"/>
      <c r="K17" s="23"/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AND(설정!$B$6="예",$B18="휴일"),IF(OR($C18="",$D18=""),0,MIN(MAX(0,VALUE(설정!$B$2))/24,MAX(0,MIN(IF(VALUE(설정!$B$2)=4,IF(AND($D18&gt;TIME(18,0,0),$D18&lt;TIME(19,1,0)),TIME(18,0,0),$D18),$D18),설정!$B$5)-MAX(IF(VALUE(설정!$B$2)=4,IF(AND($C18&gt;=TIME(8,0,0),$C18&lt;TIME(9,0,0)),TIME(9,0,0),$C18),$C18),설정!$B$4)))),IF($B18="평일",MIN(IF(OR($C18="",$D18=""),0,MAX(0,MIN(IF(VALUE(설정!$B$2)=4,IF(AND($D18&gt;TIME(18,0,0),$D18&lt;TIME(19,1,0)),TIME(18,0,0),$D18),$D18),설정!$B$5)-MAX(IF(VALUE(설정!$B$2)=4,IF(AND($C18&gt;=TIME(8,0,0),$C18&lt;TIME(9,0,0)),TIME(9,0,0),$C18),$C18),설정!$B$4)-TIME(10,0,0))),MAX(0,VALUE(설정!$B$2))/24),0))</f>
        <v>0</v>
      </c>
      <c r="F18" s="8">
        <f>IF($B18="휴일",IF(설정!$B$6="예",IF(ROUND($E18*86400,0)&gt;=3660,1,0),0),IF(ISBLANK(C18),0,IF(C18&lt;=TIME(7,59,59),1,0)))</f>
        <v>0</v>
      </c>
      <c r="G18" s="8">
        <f t="shared" si="0"/>
        <v>0</v>
      </c>
      <c r="H18" s="6"/>
      <c r="I18" s="33"/>
      <c r="J18" s="35"/>
      <c r="K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AND(설정!$B$6="예",$B19="휴일"),IF(OR($C19="",$D19=""),0,MIN(MAX(0,VALUE(설정!$B$2))/24,MAX(0,MIN(IF(VALUE(설정!$B$2)=4,IF(AND($D19&gt;TIME(18,0,0),$D19&lt;TIME(19,1,0)),TIME(18,0,0),$D19),$D19),설정!$B$5)-MAX(IF(VALUE(설정!$B$2)=4,IF(AND($C19&gt;=TIME(8,0,0),$C19&lt;TIME(9,0,0)),TIME(9,0,0),$C19),$C19),설정!$B$4)))),IF($B19="평일",MIN(IF(OR($C19="",$D19=""),0,MAX(0,MIN(IF(VALUE(설정!$B$2)=4,IF(AND($D19&gt;TIME(18,0,0),$D19&lt;TIME(19,1,0)),TIME(18,0,0),$D19),$D19),설정!$B$5)-MAX(IF(VALUE(설정!$B$2)=4,IF(AND($C19&gt;=TIME(8,0,0),$C19&lt;TIME(9,0,0)),TIME(9,0,0),$C19),$C19),설정!$B$4)-TIME(10,0,0))),MAX(0,VALUE(설정!$B$2))/24),0))</f>
        <v>0</v>
      </c>
      <c r="F19" s="8">
        <f>IF($B19="휴일",IF(설정!$B$6="예",IF(ROUND($E19*86400,0)&gt;=3660,1,0),0),IF(ISBLANK(C19),0,IF(C19&lt;=TIME(7,59,59),1,0)))</f>
        <v>0</v>
      </c>
      <c r="G19" s="8">
        <f t="shared" si="0"/>
        <v>0</v>
      </c>
      <c r="H19" s="6"/>
      <c r="I19" s="33"/>
      <c r="J19" s="35"/>
      <c r="K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AND(설정!$B$6="예",$B20="휴일"),IF(OR($C20="",$D20=""),0,MIN(MAX(0,VALUE(설정!$B$2))/24,MAX(0,MIN(IF(VALUE(설정!$B$2)=4,IF(AND($D20&gt;TIME(18,0,0),$D20&lt;TIME(19,1,0)),TIME(18,0,0),$D20),$D20),설정!$B$5)-MAX(IF(VALUE(설정!$B$2)=4,IF(AND($C20&gt;=TIME(8,0,0),$C20&lt;TIME(9,0,0)),TIME(9,0,0),$C20),$C20),설정!$B$4)))),IF($B20="평일",MIN(IF(OR($C20="",$D20=""),0,MAX(0,MIN(IF(VALUE(설정!$B$2)=4,IF(AND($D20&gt;TIME(18,0,0),$D20&lt;TIME(19,1,0)),TIME(18,0,0),$D20),$D20),설정!$B$5)-MAX(IF(VALUE(설정!$B$2)=4,IF(AND($C20&gt;=TIME(8,0,0),$C20&lt;TIME(9,0,0)),TIME(9,0,0),$C20),$C20),설정!$B$4)-TIME(10,0,0))),MAX(0,VALUE(설정!$B$2))/24),0))</f>
        <v>0</v>
      </c>
      <c r="F20" s="8">
        <f>IF($B20="휴일",IF(설정!$B$6="예",IF(ROUND($E20*86400,0)&gt;=3660,1,0),0),IF(ISBLANK(C20),0,IF(C20&lt;=TIME(7,59,59),1,0)))</f>
        <v>0</v>
      </c>
      <c r="G20" s="8">
        <f t="shared" si="0"/>
        <v>0</v>
      </c>
      <c r="H20" s="6"/>
      <c r="I20" s="33"/>
      <c r="J20" s="35"/>
      <c r="K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AND(설정!$B$6="예",$B21="휴일"),IF(OR($C21="",$D21=""),0,MIN(MAX(0,VALUE(설정!$B$2))/24,MAX(0,MIN(IF(VALUE(설정!$B$2)=4,IF(AND($D21&gt;TIME(18,0,0),$D21&lt;TIME(19,1,0)),TIME(18,0,0),$D21),$D21),설정!$B$5)-MAX(IF(VALUE(설정!$B$2)=4,IF(AND($C21&gt;=TIME(8,0,0),$C21&lt;TIME(9,0,0)),TIME(9,0,0),$C21),$C21),설정!$B$4)))),IF($B21="평일",MIN(IF(OR($C21="",$D21=""),0,MAX(0,MIN(IF(VALUE(설정!$B$2)=4,IF(AND($D21&gt;TIME(18,0,0),$D21&lt;TIME(19,1,0)),TIME(18,0,0),$D21),$D21),설정!$B$5)-MAX(IF(VALUE(설정!$B$2)=4,IF(AND($C21&gt;=TIME(8,0,0),$C21&lt;TIME(9,0,0)),TIME(9,0,0),$C21),$C21),설정!$B$4)-TIME(10,0,0))),MAX(0,VALUE(설정!$B$2))/24),0))</f>
        <v>0</v>
      </c>
      <c r="F21" s="8">
        <f>IF($B21="휴일",IF(설정!$B$6="예",IF(ROUND($E21*86400,0)&gt;=3660,1,0),0),IF(ISBLANK(C21),0,IF(C21&lt;=TIME(7,59,59),1,0)))</f>
        <v>0</v>
      </c>
      <c r="G21" s="8">
        <f t="shared" si="0"/>
        <v>0</v>
      </c>
      <c r="H21" s="6"/>
      <c r="I21" s="33"/>
      <c r="J21" s="35"/>
      <c r="K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AND(설정!$B$6="예",$B22="휴일"),IF(OR($C22="",$D22=""),0,MIN(MAX(0,VALUE(설정!$B$2))/24,MAX(0,MIN(IF(VALUE(설정!$B$2)=4,IF(AND($D22&gt;TIME(18,0,0),$D22&lt;TIME(19,1,0)),TIME(18,0,0),$D22),$D22),설정!$B$5)-MAX(IF(VALUE(설정!$B$2)=4,IF(AND($C22&gt;=TIME(8,0,0),$C22&lt;TIME(9,0,0)),TIME(9,0,0),$C22),$C22),설정!$B$4)))),IF($B22="평일",MIN(IF(OR($C22="",$D22=""),0,MAX(0,MIN(IF(VALUE(설정!$B$2)=4,IF(AND($D22&gt;TIME(18,0,0),$D22&lt;TIME(19,1,0)),TIME(18,0,0),$D22),$D22),설정!$B$5)-MAX(IF(VALUE(설정!$B$2)=4,IF(AND($C22&gt;=TIME(8,0,0),$C22&lt;TIME(9,0,0)),TIME(9,0,0),$C22),$C22),설정!$B$4)-TIME(10,0,0))),MAX(0,VALUE(설정!$B$2))/24),0))</f>
        <v>0</v>
      </c>
      <c r="F22" s="8">
        <f>IF($B22="휴일",IF(설정!$B$6="예",IF(ROUND($E22*86400,0)&gt;=3660,1,0),0),IF(ISBLANK(C22),0,IF(C22&lt;=TIME(7,59,59),1,0)))</f>
        <v>0</v>
      </c>
      <c r="G22" s="8">
        <f t="shared" si="0"/>
        <v>0</v>
      </c>
      <c r="H22" s="6"/>
      <c r="I22" s="33"/>
      <c r="J22" s="35"/>
      <c r="K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AND(설정!$B$6="예",$B23="휴일"),IF(OR($C23="",$D23=""),0,MIN(MAX(0,VALUE(설정!$B$2))/24,MAX(0,MIN(IF(VALUE(설정!$B$2)=4,IF(AND($D23&gt;TIME(18,0,0),$D23&lt;TIME(19,1,0)),TIME(18,0,0),$D23),$D23),설정!$B$5)-MAX(IF(VALUE(설정!$B$2)=4,IF(AND($C23&gt;=TIME(8,0,0),$C23&lt;TIME(9,0,0)),TIME(9,0,0),$C23),$C23),설정!$B$4)))),IF($B23="평일",MIN(IF(OR($C23="",$D23=""),0,MAX(0,MIN(IF(VALUE(설정!$B$2)=4,IF(AND($D23&gt;TIME(18,0,0),$D23&lt;TIME(19,1,0)),TIME(18,0,0),$D23),$D23),설정!$B$5)-MAX(IF(VALUE(설정!$B$2)=4,IF(AND($C23&gt;=TIME(8,0,0),$C23&lt;TIME(9,0,0)),TIME(9,0,0),$C23),$C23),설정!$B$4)-TIME(10,0,0))),MAX(0,VALUE(설정!$B$2))/24),0))</f>
        <v>0</v>
      </c>
      <c r="F23" s="8">
        <f>IF($B23="휴일",IF(설정!$B$6="예",IF(ROUND($E23*86400,0)&gt;=3660,1,0),0),IF(ISBLANK(C23),0,IF(C23&lt;=TIME(7,59,59),1,0)))</f>
        <v>0</v>
      </c>
      <c r="G23" s="8">
        <f t="shared" si="0"/>
        <v>0</v>
      </c>
      <c r="H23" s="6"/>
      <c r="I23" s="33"/>
      <c r="J23" s="35"/>
      <c r="K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AND(설정!$B$6="예",$B24="휴일"),IF(OR($C24="",$D24=""),0,MIN(MAX(0,VALUE(설정!$B$2))/24,MAX(0,MIN(IF(VALUE(설정!$B$2)=4,IF(AND($D24&gt;TIME(18,0,0),$D24&lt;TIME(19,1,0)),TIME(18,0,0),$D24),$D24),설정!$B$5)-MAX(IF(VALUE(설정!$B$2)=4,IF(AND($C24&gt;=TIME(8,0,0),$C24&lt;TIME(9,0,0)),TIME(9,0,0),$C24),$C24),설정!$B$4)))),IF($B24="평일",MIN(IF(OR($C24="",$D24=""),0,MAX(0,MIN(IF(VALUE(설정!$B$2)=4,IF(AND($D24&gt;TIME(18,0,0),$D24&lt;TIME(19,1,0)),TIME(18,0,0),$D24),$D24),설정!$B$5)-MAX(IF(VALUE(설정!$B$2)=4,IF(AND($C24&gt;=TIME(8,0,0),$C24&lt;TIME(9,0,0)),TIME(9,0,0),$C24),$C24),설정!$B$4)-TIME(10,0,0))),MAX(0,VALUE(설정!$B$2))/24),0))</f>
        <v>0</v>
      </c>
      <c r="F24" s="8">
        <f>IF($B24="휴일",IF(설정!$B$6="예",IF(ROUND($E24*86400,0)&gt;=3660,1,0),0),IF(ISBLANK(C24),0,IF(C24&lt;=TIME(7,59,59),1,0)))</f>
        <v>0</v>
      </c>
      <c r="G24" s="8">
        <f t="shared" si="0"/>
        <v>0</v>
      </c>
      <c r="H24" s="6"/>
      <c r="I24" s="33"/>
      <c r="J24" s="35"/>
      <c r="K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AND(설정!$B$6="예",$B25="휴일"),IF(OR($C25="",$D25=""),0,MIN(MAX(0,VALUE(설정!$B$2))/24,MAX(0,MIN(IF(VALUE(설정!$B$2)=4,IF(AND($D25&gt;TIME(18,0,0),$D25&lt;TIME(19,1,0)),TIME(18,0,0),$D25),$D25),설정!$B$5)-MAX(IF(VALUE(설정!$B$2)=4,IF(AND($C25&gt;=TIME(8,0,0),$C25&lt;TIME(9,0,0)),TIME(9,0,0),$C25),$C25),설정!$B$4)))),IF($B25="평일",MIN(IF(OR($C25="",$D25=""),0,MAX(0,MIN(IF(VALUE(설정!$B$2)=4,IF(AND($D25&gt;TIME(18,0,0),$D25&lt;TIME(19,1,0)),TIME(18,0,0),$D25),$D25),설정!$B$5)-MAX(IF(VALUE(설정!$B$2)=4,IF(AND($C25&gt;=TIME(8,0,0),$C25&lt;TIME(9,0,0)),TIME(9,0,0),$C25),$C25),설정!$B$4)-TIME(10,0,0))),MAX(0,VALUE(설정!$B$2))/24),0))</f>
        <v>0</v>
      </c>
      <c r="F25" s="8">
        <f>IF($B25="휴일",IF(설정!$B$6="예",IF(ROUND($E25*86400,0)&gt;=3660,1,0),0),IF(ISBLANK(C25),0,IF(C25&lt;=TIME(7,59,59),1,0)))</f>
        <v>0</v>
      </c>
      <c r="G25" s="8">
        <f t="shared" si="0"/>
        <v>0</v>
      </c>
      <c r="H25" s="6"/>
      <c r="I25" s="33"/>
      <c r="J25" s="35"/>
      <c r="K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AND(설정!$B$6="예",$B26="휴일"),IF(OR($C26="",$D26=""),0,MIN(MAX(0,VALUE(설정!$B$2))/24,MAX(0,MIN(IF(VALUE(설정!$B$2)=4,IF(AND($D26&gt;TIME(18,0,0),$D26&lt;TIME(19,1,0)),TIME(18,0,0),$D26),$D26),설정!$B$5)-MAX(IF(VALUE(설정!$B$2)=4,IF(AND($C26&gt;=TIME(8,0,0),$C26&lt;TIME(9,0,0)),TIME(9,0,0),$C26),$C26),설정!$B$4)))),IF($B26="평일",MIN(IF(OR($C26="",$D26=""),0,MAX(0,MIN(IF(VALUE(설정!$B$2)=4,IF(AND($D26&gt;TIME(18,0,0),$D26&lt;TIME(19,1,0)),TIME(18,0,0),$D26),$D26),설정!$B$5)-MAX(IF(VALUE(설정!$B$2)=4,IF(AND($C26&gt;=TIME(8,0,0),$C26&lt;TIME(9,0,0)),TIME(9,0,0),$C26),$C26),설정!$B$4)-TIME(10,0,0))),MAX(0,VALUE(설정!$B$2))/24),0))</f>
        <v>0</v>
      </c>
      <c r="F26" s="8">
        <f>IF($B26="휴일",IF(설정!$B$6="예",IF(ROUND($E26*86400,0)&gt;=3660,1,0),0),IF(ISBLANK(C26),0,IF(C26&lt;=TIME(7,59,59),1,0)))</f>
        <v>0</v>
      </c>
      <c r="G26" s="8">
        <f t="shared" si="0"/>
        <v>0</v>
      </c>
      <c r="H26" s="6" t="s">
        <v>71</v>
      </c>
      <c r="I26" s="33"/>
      <c r="J26" s="35"/>
      <c r="K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AND(설정!$B$6="예",$B27="휴일"),IF(OR($C27="",$D27=""),0,MIN(MAX(0,VALUE(설정!$B$2))/24,MAX(0,MIN(IF(VALUE(설정!$B$2)=4,IF(AND($D27&gt;TIME(18,0,0),$D27&lt;TIME(19,1,0)),TIME(18,0,0),$D27),$D27),설정!$B$5)-MAX(IF(VALUE(설정!$B$2)=4,IF(AND($C27&gt;=TIME(8,0,0),$C27&lt;TIME(9,0,0)),TIME(9,0,0),$C27),$C27),설정!$B$4)))),IF($B27="평일",MIN(IF(OR($C27="",$D27=""),0,MAX(0,MIN(IF(VALUE(설정!$B$2)=4,IF(AND($D27&gt;TIME(18,0,0),$D27&lt;TIME(19,1,0)),TIME(18,0,0),$D27),$D27),설정!$B$5)-MAX(IF(VALUE(설정!$B$2)=4,IF(AND($C27&gt;=TIME(8,0,0),$C27&lt;TIME(9,0,0)),TIME(9,0,0),$C27),$C27),설정!$B$4)-TIME(10,0,0))),MAX(0,VALUE(설정!$B$2))/24),0))</f>
        <v>0</v>
      </c>
      <c r="F27" s="8">
        <f>IF($B27="휴일",IF(설정!$B$6="예",IF(ROUND($E27*86400,0)&gt;=3660,1,0),0),IF(ISBLANK(C27),0,IF(C27&lt;=TIME(7,59,59),1,0)))</f>
        <v>0</v>
      </c>
      <c r="G27" s="8">
        <f t="shared" si="0"/>
        <v>0</v>
      </c>
      <c r="H27" s="6"/>
      <c r="I27" s="33"/>
      <c r="J27" s="35"/>
      <c r="K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AND(설정!$B$6="예",$B28="휴일"),IF(OR($C28="",$D28=""),0,MIN(MAX(0,VALUE(설정!$B$2))/24,MAX(0,MIN(IF(VALUE(설정!$B$2)=4,IF(AND($D28&gt;TIME(18,0,0),$D28&lt;TIME(19,1,0)),TIME(18,0,0),$D28),$D28),설정!$B$5)-MAX(IF(VALUE(설정!$B$2)=4,IF(AND($C28&gt;=TIME(8,0,0),$C28&lt;TIME(9,0,0)),TIME(9,0,0),$C28),$C28),설정!$B$4)))),IF($B28="평일",MIN(IF(OR($C28="",$D28=""),0,MAX(0,MIN(IF(VALUE(설정!$B$2)=4,IF(AND($D28&gt;TIME(18,0,0),$D28&lt;TIME(19,1,0)),TIME(18,0,0),$D28),$D28),설정!$B$5)-MAX(IF(VALUE(설정!$B$2)=4,IF(AND($C28&gt;=TIME(8,0,0),$C28&lt;TIME(9,0,0)),TIME(9,0,0),$C28),$C28),설정!$B$4)-TIME(10,0,0))),MAX(0,VALUE(설정!$B$2))/24),0))</f>
        <v>0</v>
      </c>
      <c r="F28" s="8">
        <f>IF($B28="휴일",IF(설정!$B$6="예",IF(ROUND($E28*86400,0)&gt;=3660,1,0),0),IF(ISBLANK(C28),0,IF(C28&lt;=TIME(7,59,59),1,0)))</f>
        <v>0</v>
      </c>
      <c r="G28" s="8">
        <f t="shared" si="0"/>
        <v>0</v>
      </c>
      <c r="H28" s="6"/>
      <c r="I28" s="33"/>
      <c r="J28" s="35"/>
      <c r="K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AND(설정!$B$6="예",$B29="휴일"),IF(OR($C29="",$D29=""),0,MIN(MAX(0,VALUE(설정!$B$2))/24,MAX(0,MIN(IF(VALUE(설정!$B$2)=4,IF(AND($D29&gt;TIME(18,0,0),$D29&lt;TIME(19,1,0)),TIME(18,0,0),$D29),$D29),설정!$B$5)-MAX(IF(VALUE(설정!$B$2)=4,IF(AND($C29&gt;=TIME(8,0,0),$C29&lt;TIME(9,0,0)),TIME(9,0,0),$C29),$C29),설정!$B$4)))),IF($B29="평일",MIN(IF(OR($C29="",$D29=""),0,MAX(0,MIN(IF(VALUE(설정!$B$2)=4,IF(AND($D29&gt;TIME(18,0,0),$D29&lt;TIME(19,1,0)),TIME(18,0,0),$D29),$D29),설정!$B$5)-MAX(IF(VALUE(설정!$B$2)=4,IF(AND($C29&gt;=TIME(8,0,0),$C29&lt;TIME(9,0,0)),TIME(9,0,0),$C29),$C29),설정!$B$4)-TIME(10,0,0))),MAX(0,VALUE(설정!$B$2))/24),0))</f>
        <v>0</v>
      </c>
      <c r="F29" s="8">
        <f>IF($B29="휴일",IF(설정!$B$6="예",IF(ROUND($E29*86400,0)&gt;=3660,1,0),0),IF(ISBLANK(C29),0,IF(C29&lt;=TIME(7,59,59),1,0)))</f>
        <v>0</v>
      </c>
      <c r="G29" s="8">
        <f t="shared" si="0"/>
        <v>0</v>
      </c>
      <c r="H29" s="6"/>
      <c r="I29" s="33"/>
      <c r="J29" s="35"/>
      <c r="K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AND(설정!$B$6="예",$B30="휴일"),IF(OR($C30="",$D30=""),0,MIN(MAX(0,VALUE(설정!$B$2))/24,MAX(0,MIN(IF(VALUE(설정!$B$2)=4,IF(AND($D30&gt;TIME(18,0,0),$D30&lt;TIME(19,1,0)),TIME(18,0,0),$D30),$D30),설정!$B$5)-MAX(IF(VALUE(설정!$B$2)=4,IF(AND($C30&gt;=TIME(8,0,0),$C30&lt;TIME(9,0,0)),TIME(9,0,0),$C30),$C30),설정!$B$4)))),IF($B30="평일",MIN(IF(OR($C30="",$D30=""),0,MAX(0,MIN(IF(VALUE(설정!$B$2)=4,IF(AND($D30&gt;TIME(18,0,0),$D30&lt;TIME(19,1,0)),TIME(18,0,0),$D30),$D30),설정!$B$5)-MAX(IF(VALUE(설정!$B$2)=4,IF(AND($C30&gt;=TIME(8,0,0),$C30&lt;TIME(9,0,0)),TIME(9,0,0),$C30),$C30),설정!$B$4)-TIME(10,0,0))),MAX(0,VALUE(설정!$B$2))/24),0))</f>
        <v>0</v>
      </c>
      <c r="F30" s="8">
        <f>IF($B30="휴일",IF(설정!$B$6="예",IF(ROUND($E30*86400,0)&gt;=3660,1,0),0),IF(ISBLANK(C30),0,IF(C30&lt;=TIME(7,59,59),1,0)))</f>
        <v>0</v>
      </c>
      <c r="G30" s="8">
        <f t="shared" si="0"/>
        <v>0</v>
      </c>
      <c r="H30" s="6"/>
      <c r="I30" s="33"/>
      <c r="J30" s="35"/>
      <c r="K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AND(설정!$B$6="예",$B31="휴일"),IF(OR($C31="",$D31=""),0,MIN(MAX(0,VALUE(설정!$B$2))/24,MAX(0,MIN(IF(VALUE(설정!$B$2)=4,IF(AND($D31&gt;TIME(18,0,0),$D31&lt;TIME(19,1,0)),TIME(18,0,0),$D31),$D31),설정!$B$5)-MAX(IF(VALUE(설정!$B$2)=4,IF(AND($C31&gt;=TIME(8,0,0),$C31&lt;TIME(9,0,0)),TIME(9,0,0),$C31),$C31),설정!$B$4)))),IF($B31="평일",MIN(IF(OR($C31="",$D31=""),0,MAX(0,MIN(IF(VALUE(설정!$B$2)=4,IF(AND($D31&gt;TIME(18,0,0),$D31&lt;TIME(19,1,0)),TIME(18,0,0),$D31),$D31),설정!$B$5)-MAX(IF(VALUE(설정!$B$2)=4,IF(AND($C31&gt;=TIME(8,0,0),$C31&lt;TIME(9,0,0)),TIME(9,0,0),$C31),$C31),설정!$B$4)-TIME(10,0,0))),MAX(0,VALUE(설정!$B$2))/24),0))</f>
        <v>0</v>
      </c>
      <c r="F31" s="8">
        <f>IF($B31="휴일",IF(설정!$B$6="예",IF(ROUND($E31*86400,0)&gt;=3660,1,0),0),IF(ISBLANK(C31),0,IF(C31&lt;=TIME(7,59,59),1,0)))</f>
        <v>0</v>
      </c>
      <c r="G31" s="8">
        <f t="shared" si="0"/>
        <v>0</v>
      </c>
      <c r="H31" s="6"/>
      <c r="I31" s="33"/>
      <c r="J31" s="35"/>
      <c r="K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AND(설정!$B$6="예",$B32="휴일"),IF(OR($C32="",$D32=""),0,MIN(MAX(0,VALUE(설정!$B$2))/24,MAX(0,MIN(IF(VALUE(설정!$B$2)=4,IF(AND($D32&gt;TIME(18,0,0),$D32&lt;TIME(19,1,0)),TIME(18,0,0),$D32),$D32),설정!$B$5)-MAX(IF(VALUE(설정!$B$2)=4,IF(AND($C32&gt;=TIME(8,0,0),$C32&lt;TIME(9,0,0)),TIME(9,0,0),$C32),$C32),설정!$B$4)))),IF($B32="평일",MIN(IF(OR($C32="",$D32=""),0,MAX(0,MIN(IF(VALUE(설정!$B$2)=4,IF(AND($D32&gt;TIME(18,0,0),$D32&lt;TIME(19,1,0)),TIME(18,0,0),$D32),$D32),설정!$B$5)-MAX(IF(VALUE(설정!$B$2)=4,IF(AND($C32&gt;=TIME(8,0,0),$C32&lt;TIME(9,0,0)),TIME(9,0,0),$C32),$C32),설정!$B$4)-TIME(10,0,0))),MAX(0,VALUE(설정!$B$2))/24),0))</f>
        <v>0</v>
      </c>
      <c r="F32" s="8">
        <f>IF($B32="휴일",IF(설정!$B$6="예",IF(ROUND($E32*86400,0)&gt;=3660,1,0),0),IF(ISBLANK(C32),0,IF(C32&lt;=TIME(7,59,59),1,0)))</f>
        <v>0</v>
      </c>
      <c r="G32" s="8">
        <f t="shared" si="0"/>
        <v>0</v>
      </c>
      <c r="H32" s="6"/>
      <c r="I32" s="33"/>
      <c r="J32" s="35"/>
      <c r="K32" s="23"/>
    </row>
    <row r="33" spans="1:11">
      <c r="A33" s="6"/>
      <c r="B33" s="55"/>
      <c r="C33" s="5"/>
      <c r="D33" s="11" t="s">
        <v>5</v>
      </c>
      <c r="E33" s="13">
        <f>SUM(E2:E32)</f>
        <v>0</v>
      </c>
      <c r="F33" s="6" t="s">
        <v>7</v>
      </c>
      <c r="G33" s="14">
        <f>MIN(SUM(F2:G32),MAX(0,VALUE(설정!$B$7)))</f>
        <v>0</v>
      </c>
      <c r="K33" s="23"/>
    </row>
    <row r="34" spans="1:11">
      <c r="A34" s="6"/>
      <c r="B34" s="55"/>
      <c r="C34" s="6"/>
      <c r="D34" s="1" t="s">
        <v>6</v>
      </c>
      <c r="E34" s="12">
        <f>MAX(0, ((설정!$B$3*60) - (E33*1440)) / 1440)</f>
        <v>2.0416666666666665</v>
      </c>
      <c r="F34" s="1" t="s">
        <v>6</v>
      </c>
      <c r="G34" s="7">
        <f>MAX(0,MAX(0,VALUE(설정!$B$7))-G33)</f>
        <v>20</v>
      </c>
      <c r="H34" s="6"/>
      <c r="K34" s="23"/>
    </row>
    <row r="35" spans="1:11">
      <c r="D35" s="2" t="s">
        <v>8</v>
      </c>
      <c r="E35" s="12">
        <f>IF(SUM(E2:E32)&gt;(설정!$B$3/24), (SUM(E2:E32)-(설정!$B$3/24)), 0)</f>
        <v>0</v>
      </c>
      <c r="F35" s="2" t="s">
        <v>8</v>
      </c>
      <c r="G35" s="18">
        <f>MAX(0,SUM(F2:G32)-MAX(0,VALUE(설정!$B$7)))</f>
        <v>0</v>
      </c>
    </row>
    <row r="36" spans="1:11">
      <c r="D36" s="1" t="s">
        <v>32</v>
      </c>
      <c r="E36" s="2">
        <f>IF(설정!$B$6&lt;&gt;"아니오",0,COUNTIFS($B$2:$B$32,"휴일",$C$2:$C$32,"&lt;&gt;"))</f>
        <v>0</v>
      </c>
      <c r="G36" s="6">
        <f>SUM(F2:G32)</f>
        <v>0</v>
      </c>
    </row>
    <row r="37" spans="1:11">
      <c r="E37"/>
    </row>
  </sheetData>
  <phoneticPr fontId="1" type="noConversion"/>
  <conditionalFormatting sqref="A2:A32">
    <cfRule type="expression" dxfId="0" priority="1">
      <formula>AND($A2&lt;&gt;"",$B2="휴일")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I1:I1048576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2026-10-01T07:55:08Z</dcterms:modified>
</cp:coreProperties>
</file>