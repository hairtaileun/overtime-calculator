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2A9D4580-2126-47F7-9128-C2EEBEAD53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'1월'!$A$1:$M$36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" i="32" l="1"/>
  <c r="E4" i="32"/>
  <c r="E5" i="32"/>
  <c r="E6" i="32"/>
  <c r="F6" i="32" s="1"/>
  <c r="E7" i="32"/>
  <c r="F7" i="32" s="1"/>
  <c r="E8" i="32"/>
  <c r="E9" i="32"/>
  <c r="E10" i="32"/>
  <c r="E11" i="32"/>
  <c r="E12" i="32"/>
  <c r="E13" i="32"/>
  <c r="E14" i="32"/>
  <c r="F14" i="32" s="1"/>
  <c r="E15" i="32"/>
  <c r="E16" i="32"/>
  <c r="E17" i="32"/>
  <c r="E18" i="32"/>
  <c r="E19" i="32"/>
  <c r="E20" i="32"/>
  <c r="F20" i="32" s="1"/>
  <c r="E21" i="32"/>
  <c r="F21" i="32" s="1"/>
  <c r="E22" i="32"/>
  <c r="E23" i="32"/>
  <c r="E24" i="32"/>
  <c r="E25" i="32"/>
  <c r="E26" i="32"/>
  <c r="E27" i="32"/>
  <c r="E28" i="32"/>
  <c r="F28" i="32" s="1"/>
  <c r="E29" i="32"/>
  <c r="E30" i="32"/>
  <c r="E31" i="32"/>
  <c r="E32" i="32"/>
  <c r="E2" i="32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F22" i="31" s="1"/>
  <c r="E23" i="31"/>
  <c r="F23" i="31" s="1"/>
  <c r="E24" i="31"/>
  <c r="E25" i="31"/>
  <c r="E26" i="31"/>
  <c r="E27" i="31"/>
  <c r="E28" i="31"/>
  <c r="E29" i="31"/>
  <c r="F29" i="31" s="1"/>
  <c r="E30" i="31"/>
  <c r="F30" i="31" s="1"/>
  <c r="E31" i="31"/>
  <c r="E2" i="31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18" i="30"/>
  <c r="F18" i="30" s="1"/>
  <c r="E19" i="30"/>
  <c r="F19" i="30" s="1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F32" i="30" s="1"/>
  <c r="E2" i="30"/>
  <c r="E3" i="29"/>
  <c r="E4" i="29"/>
  <c r="E5" i="29"/>
  <c r="E6" i="29"/>
  <c r="F6" i="29" s="1"/>
  <c r="E7" i="29"/>
  <c r="F7" i="29" s="1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F21" i="29" s="1"/>
  <c r="E22" i="29"/>
  <c r="E23" i="29"/>
  <c r="E24" i="29"/>
  <c r="E25" i="29"/>
  <c r="F25" i="29" s="1"/>
  <c r="E26" i="29"/>
  <c r="F26" i="29" s="1"/>
  <c r="E27" i="29"/>
  <c r="F27" i="29" s="1"/>
  <c r="E28" i="29"/>
  <c r="F28" i="29" s="1"/>
  <c r="E29" i="29"/>
  <c r="E30" i="29"/>
  <c r="E31" i="29"/>
  <c r="E2" i="29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F16" i="28" s="1"/>
  <c r="E17" i="28"/>
  <c r="F17" i="28" s="1"/>
  <c r="E18" i="28"/>
  <c r="F18" i="28" s="1"/>
  <c r="E19" i="28"/>
  <c r="E20" i="28"/>
  <c r="E21" i="28"/>
  <c r="E22" i="28"/>
  <c r="E23" i="28"/>
  <c r="E24" i="28"/>
  <c r="E25" i="28"/>
  <c r="E26" i="28"/>
  <c r="E27" i="28"/>
  <c r="E28" i="28"/>
  <c r="E29" i="28"/>
  <c r="E30" i="28"/>
  <c r="F30" i="28" s="1"/>
  <c r="E31" i="28"/>
  <c r="F31" i="28" s="1"/>
  <c r="E32" i="28"/>
  <c r="E2" i="28"/>
  <c r="F2" i="28" s="1"/>
  <c r="E3" i="27"/>
  <c r="E4" i="27"/>
  <c r="E5" i="27"/>
  <c r="F5" i="27" s="1"/>
  <c r="E6" i="27"/>
  <c r="F6" i="27" s="1"/>
  <c r="E7" i="27"/>
  <c r="E8" i="27"/>
  <c r="E9" i="27"/>
  <c r="E10" i="27"/>
  <c r="E11" i="27"/>
  <c r="E12" i="27"/>
  <c r="E13" i="27"/>
  <c r="E14" i="27"/>
  <c r="E15" i="27"/>
  <c r="E16" i="27"/>
  <c r="E17" i="27"/>
  <c r="E18" i="27"/>
  <c r="F18" i="27" s="1"/>
  <c r="E19" i="27"/>
  <c r="E20" i="27"/>
  <c r="F20" i="27" s="1"/>
  <c r="E21" i="27"/>
  <c r="E22" i="27"/>
  <c r="E23" i="27"/>
  <c r="E24" i="27"/>
  <c r="E25" i="27"/>
  <c r="E26" i="27"/>
  <c r="F26" i="27" s="1"/>
  <c r="E27" i="27"/>
  <c r="F27" i="27" s="1"/>
  <c r="E28" i="27"/>
  <c r="E29" i="27"/>
  <c r="E30" i="27"/>
  <c r="E31" i="27"/>
  <c r="E32" i="27"/>
  <c r="E2" i="27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F22" i="26" s="1"/>
  <c r="E23" i="26"/>
  <c r="E24" i="26"/>
  <c r="E25" i="26"/>
  <c r="E26" i="26"/>
  <c r="E27" i="26"/>
  <c r="E28" i="26"/>
  <c r="E29" i="26"/>
  <c r="E30" i="26"/>
  <c r="E31" i="26"/>
  <c r="E2" i="26"/>
  <c r="E3" i="25"/>
  <c r="E4" i="25"/>
  <c r="F4" i="25" s="1"/>
  <c r="E5" i="25"/>
  <c r="E6" i="25"/>
  <c r="F6" i="25" s="1"/>
  <c r="E7" i="25"/>
  <c r="E8" i="25"/>
  <c r="E9" i="25"/>
  <c r="E10" i="25"/>
  <c r="E11" i="25"/>
  <c r="E12" i="25"/>
  <c r="E13" i="25"/>
  <c r="E14" i="25"/>
  <c r="E15" i="25"/>
  <c r="E16" i="25"/>
  <c r="E17" i="25"/>
  <c r="E18" i="25"/>
  <c r="F18" i="25" s="1"/>
  <c r="E19" i="25"/>
  <c r="E20" i="25"/>
  <c r="E21" i="25"/>
  <c r="E22" i="25"/>
  <c r="E23" i="25"/>
  <c r="E24" i="25"/>
  <c r="F24" i="25" s="1"/>
  <c r="E25" i="25"/>
  <c r="F25" i="25" s="1"/>
  <c r="E26" i="25"/>
  <c r="F26" i="25" s="1"/>
  <c r="E27" i="25"/>
  <c r="E28" i="25"/>
  <c r="E29" i="25"/>
  <c r="E30" i="25"/>
  <c r="E31" i="25"/>
  <c r="F31" i="25" s="1"/>
  <c r="E32" i="25"/>
  <c r="F32" i="25" s="1"/>
  <c r="E2" i="25"/>
  <c r="E3" i="24"/>
  <c r="E4" i="24"/>
  <c r="E5" i="24"/>
  <c r="F5" i="24" s="1"/>
  <c r="E6" i="24"/>
  <c r="F6" i="24" s="1"/>
  <c r="E7" i="24"/>
  <c r="E8" i="24"/>
  <c r="E9" i="24"/>
  <c r="E10" i="24"/>
  <c r="E11" i="24"/>
  <c r="E12" i="24"/>
  <c r="F12" i="24" s="1"/>
  <c r="E13" i="24"/>
  <c r="F13" i="24" s="1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F27" i="24" s="1"/>
  <c r="E28" i="24"/>
  <c r="E29" i="24"/>
  <c r="E30" i="24"/>
  <c r="E31" i="24"/>
  <c r="E2" i="24"/>
  <c r="E3" i="23"/>
  <c r="F3" i="23" s="1"/>
  <c r="E4" i="23"/>
  <c r="E5" i="23"/>
  <c r="E6" i="23"/>
  <c r="E7" i="23"/>
  <c r="E8" i="23"/>
  <c r="E9" i="23"/>
  <c r="E10" i="23"/>
  <c r="E11" i="23"/>
  <c r="E12" i="23"/>
  <c r="E13" i="23"/>
  <c r="E14" i="23"/>
  <c r="E15" i="23"/>
  <c r="F15" i="23" s="1"/>
  <c r="E16" i="23"/>
  <c r="F16" i="23" s="1"/>
  <c r="E17" i="23"/>
  <c r="E18" i="23"/>
  <c r="E19" i="23"/>
  <c r="E20" i="23"/>
  <c r="E21" i="23"/>
  <c r="E22" i="23"/>
  <c r="F22" i="23" s="1"/>
  <c r="E23" i="23"/>
  <c r="F23" i="23" s="1"/>
  <c r="E24" i="23"/>
  <c r="E25" i="23"/>
  <c r="E26" i="23"/>
  <c r="E27" i="23"/>
  <c r="E28" i="23"/>
  <c r="E29" i="23"/>
  <c r="E30" i="23"/>
  <c r="E31" i="23"/>
  <c r="E32" i="23"/>
  <c r="E2" i="23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F15" i="21" s="1"/>
  <c r="E16" i="21"/>
  <c r="F16" i="21" s="1"/>
  <c r="E17" i="21"/>
  <c r="F17" i="21" s="1"/>
  <c r="E18" i="21"/>
  <c r="F18" i="21" s="1"/>
  <c r="E19" i="21"/>
  <c r="F19" i="21" s="1"/>
  <c r="E20" i="21"/>
  <c r="E21" i="21"/>
  <c r="E22" i="21"/>
  <c r="F22" i="21" s="1"/>
  <c r="E23" i="21"/>
  <c r="E24" i="21"/>
  <c r="E25" i="21"/>
  <c r="E26" i="21"/>
  <c r="E27" i="21"/>
  <c r="E28" i="21"/>
  <c r="E29" i="21"/>
  <c r="E30" i="21"/>
  <c r="E2" i="21"/>
  <c r="F2" i="21" s="1"/>
  <c r="E4" i="8"/>
  <c r="F4" i="8" s="1"/>
  <c r="E5" i="8"/>
  <c r="F5" i="8" s="1"/>
  <c r="E6" i="8"/>
  <c r="E7" i="8"/>
  <c r="E8" i="8"/>
  <c r="E9" i="8"/>
  <c r="E10" i="8"/>
  <c r="E11" i="8"/>
  <c r="E12" i="8"/>
  <c r="F12" i="8" s="1"/>
  <c r="E13" i="8"/>
  <c r="E14" i="8"/>
  <c r="E15" i="8"/>
  <c r="E16" i="8"/>
  <c r="E17" i="8"/>
  <c r="E18" i="8"/>
  <c r="F18" i="8" s="1"/>
  <c r="E19" i="8"/>
  <c r="F19" i="8" s="1"/>
  <c r="E20" i="8"/>
  <c r="E21" i="8"/>
  <c r="E22" i="8"/>
  <c r="E23" i="8"/>
  <c r="E24" i="8"/>
  <c r="E25" i="8"/>
  <c r="F25" i="8" s="1"/>
  <c r="E26" i="8"/>
  <c r="F26" i="8" s="1"/>
  <c r="E27" i="8"/>
  <c r="E28" i="8"/>
  <c r="E29" i="8"/>
  <c r="E30" i="8"/>
  <c r="E31" i="8"/>
  <c r="E32" i="8"/>
  <c r="F32" i="8" s="1"/>
  <c r="E2" i="8"/>
  <c r="F2" i="8" s="1"/>
  <c r="E3" i="8"/>
  <c r="F3" i="32"/>
  <c r="F4" i="32"/>
  <c r="F5" i="32"/>
  <c r="F8" i="32"/>
  <c r="F9" i="32"/>
  <c r="F10" i="32"/>
  <c r="F11" i="32"/>
  <c r="F12" i="32"/>
  <c r="F13" i="32"/>
  <c r="F15" i="32"/>
  <c r="F16" i="32"/>
  <c r="F17" i="32"/>
  <c r="F18" i="32"/>
  <c r="F19" i="32"/>
  <c r="F22" i="32"/>
  <c r="F23" i="32"/>
  <c r="F24" i="32"/>
  <c r="F25" i="32"/>
  <c r="F29" i="32"/>
  <c r="F30" i="32"/>
  <c r="F31" i="32"/>
  <c r="F32" i="32"/>
  <c r="F2" i="32"/>
  <c r="F3" i="31"/>
  <c r="F4" i="31"/>
  <c r="F5" i="31"/>
  <c r="F6" i="31"/>
  <c r="F7" i="31"/>
  <c r="F10" i="31"/>
  <c r="F11" i="31"/>
  <c r="F12" i="31"/>
  <c r="F13" i="31"/>
  <c r="F14" i="31"/>
  <c r="F17" i="31"/>
  <c r="F18" i="31"/>
  <c r="F19" i="31"/>
  <c r="F20" i="31"/>
  <c r="F21" i="31"/>
  <c r="F24" i="31"/>
  <c r="F25" i="31"/>
  <c r="F26" i="31"/>
  <c r="F27" i="31"/>
  <c r="F28" i="31"/>
  <c r="F31" i="31"/>
  <c r="F3" i="30"/>
  <c r="F7" i="30"/>
  <c r="F8" i="30"/>
  <c r="F9" i="30"/>
  <c r="F10" i="30"/>
  <c r="F11" i="30"/>
  <c r="F12" i="30"/>
  <c r="F13" i="30"/>
  <c r="F14" i="30"/>
  <c r="F15" i="30"/>
  <c r="F16" i="30"/>
  <c r="F17" i="30"/>
  <c r="F20" i="30"/>
  <c r="F21" i="30"/>
  <c r="F22" i="30"/>
  <c r="F23" i="30"/>
  <c r="F24" i="30"/>
  <c r="F27" i="30"/>
  <c r="F28" i="30"/>
  <c r="F29" i="30"/>
  <c r="F30" i="30"/>
  <c r="F31" i="30"/>
  <c r="F2" i="30"/>
  <c r="F3" i="29"/>
  <c r="F4" i="29"/>
  <c r="F5" i="29"/>
  <c r="F8" i="29"/>
  <c r="F9" i="29"/>
  <c r="F10" i="29"/>
  <c r="F11" i="29"/>
  <c r="F12" i="29"/>
  <c r="F15" i="29"/>
  <c r="F16" i="29"/>
  <c r="F17" i="29"/>
  <c r="F18" i="29"/>
  <c r="F19" i="29"/>
  <c r="F22" i="29"/>
  <c r="F23" i="29"/>
  <c r="F24" i="29"/>
  <c r="F29" i="29"/>
  <c r="F30" i="29"/>
  <c r="F31" i="29"/>
  <c r="F2" i="29"/>
  <c r="F4" i="28"/>
  <c r="F5" i="28"/>
  <c r="F6" i="28"/>
  <c r="F7" i="28"/>
  <c r="F8" i="28"/>
  <c r="F11" i="28"/>
  <c r="F12" i="28"/>
  <c r="F13" i="28"/>
  <c r="F14" i="28"/>
  <c r="F15" i="28"/>
  <c r="F19" i="28"/>
  <c r="F20" i="28"/>
  <c r="F21" i="28"/>
  <c r="F22" i="28"/>
  <c r="F25" i="28"/>
  <c r="F26" i="28"/>
  <c r="F27" i="28"/>
  <c r="F28" i="28"/>
  <c r="F29" i="28"/>
  <c r="F32" i="28"/>
  <c r="F3" i="27"/>
  <c r="F4" i="27"/>
  <c r="F7" i="27"/>
  <c r="F8" i="27"/>
  <c r="F9" i="27"/>
  <c r="F10" i="27"/>
  <c r="F11" i="27"/>
  <c r="F14" i="27"/>
  <c r="F15" i="27"/>
  <c r="F16" i="27"/>
  <c r="F17" i="27"/>
  <c r="F21" i="27"/>
  <c r="F22" i="27"/>
  <c r="F23" i="27"/>
  <c r="F24" i="27"/>
  <c r="F25" i="27"/>
  <c r="F28" i="27"/>
  <c r="F29" i="27"/>
  <c r="F30" i="27"/>
  <c r="F31" i="27"/>
  <c r="F32" i="27"/>
  <c r="F2" i="27"/>
  <c r="F3" i="26"/>
  <c r="F4" i="26"/>
  <c r="F5" i="26"/>
  <c r="F6" i="26"/>
  <c r="F9" i="26"/>
  <c r="F10" i="26"/>
  <c r="F11" i="26"/>
  <c r="F12" i="26"/>
  <c r="F13" i="26"/>
  <c r="F16" i="26"/>
  <c r="F17" i="26"/>
  <c r="F18" i="26"/>
  <c r="F19" i="26"/>
  <c r="F20" i="26"/>
  <c r="F23" i="26"/>
  <c r="F24" i="26"/>
  <c r="F25" i="26"/>
  <c r="F26" i="26"/>
  <c r="F27" i="26"/>
  <c r="F28" i="26"/>
  <c r="F30" i="26"/>
  <c r="F31" i="26"/>
  <c r="F2" i="26"/>
  <c r="F5" i="25"/>
  <c r="F7" i="25"/>
  <c r="F8" i="25"/>
  <c r="F9" i="25"/>
  <c r="F12" i="25"/>
  <c r="F13" i="25"/>
  <c r="F14" i="25"/>
  <c r="F15" i="25"/>
  <c r="F16" i="25"/>
  <c r="F17" i="25"/>
  <c r="F19" i="25"/>
  <c r="F20" i="25"/>
  <c r="F21" i="25"/>
  <c r="F22" i="25"/>
  <c r="F23" i="25"/>
  <c r="F27" i="25"/>
  <c r="F28" i="25"/>
  <c r="F29" i="25"/>
  <c r="F30" i="25"/>
  <c r="F2" i="25"/>
  <c r="F3" i="24"/>
  <c r="F4" i="24"/>
  <c r="F7" i="24"/>
  <c r="F8" i="24"/>
  <c r="F9" i="24"/>
  <c r="F10" i="24"/>
  <c r="F11" i="24"/>
  <c r="F14" i="24"/>
  <c r="F15" i="24"/>
  <c r="F16" i="24"/>
  <c r="F17" i="24"/>
  <c r="F18" i="24"/>
  <c r="F21" i="24"/>
  <c r="F22" i="24"/>
  <c r="F23" i="24"/>
  <c r="F24" i="24"/>
  <c r="F25" i="24"/>
  <c r="F26" i="24"/>
  <c r="F28" i="24"/>
  <c r="F29" i="24"/>
  <c r="F30" i="24"/>
  <c r="F31" i="24"/>
  <c r="F2" i="24"/>
  <c r="F4" i="23"/>
  <c r="F5" i="23"/>
  <c r="F6" i="23"/>
  <c r="F7" i="23"/>
  <c r="F10" i="23"/>
  <c r="F11" i="23"/>
  <c r="F12" i="23"/>
  <c r="F13" i="23"/>
  <c r="F14" i="23"/>
  <c r="F17" i="23"/>
  <c r="F18" i="23"/>
  <c r="F19" i="23"/>
  <c r="F20" i="23"/>
  <c r="F21" i="23"/>
  <c r="F24" i="23"/>
  <c r="F25" i="23"/>
  <c r="F26" i="23"/>
  <c r="F27" i="23"/>
  <c r="F28" i="23"/>
  <c r="F31" i="23"/>
  <c r="F32" i="23"/>
  <c r="F3" i="21"/>
  <c r="F4" i="21"/>
  <c r="F5" i="21"/>
  <c r="F6" i="21"/>
  <c r="F7" i="21"/>
  <c r="F10" i="21"/>
  <c r="F11" i="21"/>
  <c r="F12" i="21"/>
  <c r="F13" i="21"/>
  <c r="F14" i="21"/>
  <c r="F20" i="21"/>
  <c r="F21" i="21"/>
  <c r="F24" i="21"/>
  <c r="F25" i="21"/>
  <c r="F26" i="21"/>
  <c r="F27" i="21"/>
  <c r="F28" i="21"/>
  <c r="F30" i="21"/>
  <c r="F3" i="8"/>
  <c r="F6" i="8"/>
  <c r="F7" i="8"/>
  <c r="F8" i="8"/>
  <c r="F9" i="8"/>
  <c r="F10" i="8"/>
  <c r="F11" i="8"/>
  <c r="F13" i="8"/>
  <c r="F14" i="8"/>
  <c r="F15" i="8"/>
  <c r="F16" i="8"/>
  <c r="F17" i="8"/>
  <c r="F20" i="8"/>
  <c r="F21" i="8"/>
  <c r="F22" i="8"/>
  <c r="F23" i="8"/>
  <c r="F24" i="8"/>
  <c r="F27" i="8"/>
  <c r="F28" i="8"/>
  <c r="F29" i="8"/>
  <c r="F30" i="8"/>
  <c r="F31" i="8"/>
  <c r="G3" i="32"/>
  <c r="G4" i="32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2" i="32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2" i="31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2" i="30"/>
  <c r="G3" i="29"/>
  <c r="G4" i="29"/>
  <c r="G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2" i="29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2" i="28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2" i="27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2" i="26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2" i="25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2" i="24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2" i="23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2" i="21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2" i="8"/>
  <c r="E35" i="31"/>
  <c r="E35" i="29"/>
  <c r="E35" i="26"/>
  <c r="E35" i="24"/>
  <c r="E36" i="32"/>
  <c r="E36" i="30"/>
  <c r="E36" i="28"/>
  <c r="E36" i="27"/>
  <c r="E36" i="25"/>
  <c r="E36" i="23"/>
  <c r="E34" i="21"/>
  <c r="E36" i="8"/>
  <c r="F26" i="32"/>
  <c r="F27" i="32"/>
  <c r="F8" i="31"/>
  <c r="F9" i="31"/>
  <c r="F15" i="31"/>
  <c r="F16" i="31"/>
  <c r="F2" i="31"/>
  <c r="F4" i="30"/>
  <c r="F5" i="30"/>
  <c r="F6" i="30"/>
  <c r="F25" i="30"/>
  <c r="F26" i="30"/>
  <c r="F13" i="29"/>
  <c r="F14" i="29"/>
  <c r="F20" i="29"/>
  <c r="F3" i="28"/>
  <c r="F9" i="28"/>
  <c r="F10" i="28"/>
  <c r="F23" i="28"/>
  <c r="F24" i="28"/>
  <c r="F12" i="27"/>
  <c r="F13" i="27"/>
  <c r="F19" i="27"/>
  <c r="F7" i="26"/>
  <c r="F8" i="26"/>
  <c r="F14" i="26"/>
  <c r="F15" i="26"/>
  <c r="F21" i="26"/>
  <c r="F29" i="26"/>
  <c r="F3" i="25"/>
  <c r="F10" i="25"/>
  <c r="F11" i="25"/>
  <c r="F19" i="24"/>
  <c r="F20" i="24"/>
  <c r="F8" i="23"/>
  <c r="F9" i="23"/>
  <c r="F29" i="23"/>
  <c r="F30" i="23"/>
  <c r="F2" i="23"/>
  <c r="F8" i="21"/>
  <c r="F9" i="21"/>
  <c r="F23" i="21"/>
  <c r="F29" i="21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2" i="32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2" i="31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2" i="30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2" i="29"/>
  <c r="A3" i="28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2" i="28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2" i="27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2" i="26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2" i="24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2" i="23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2" i="2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2" i="8"/>
  <c r="O8" i="39"/>
  <c r="P8" i="39" s="1"/>
  <c r="O9" i="39"/>
  <c r="P9" i="39" s="1"/>
  <c r="O10" i="39"/>
  <c r="P10" i="39" s="1"/>
  <c r="O11" i="39"/>
  <c r="P11" i="39" s="1"/>
  <c r="O12" i="39"/>
  <c r="P12" i="39" s="1"/>
  <c r="O13" i="39"/>
  <c r="P13" i="39" s="1"/>
  <c r="O14" i="39"/>
  <c r="P14" i="39" s="1"/>
  <c r="O15" i="39"/>
  <c r="P15" i="39" s="1"/>
  <c r="O16" i="39"/>
  <c r="P16" i="39" s="1"/>
  <c r="O17" i="39"/>
  <c r="P17" i="39" s="1"/>
  <c r="O18" i="39"/>
  <c r="P18" i="39" s="1"/>
  <c r="O19" i="39"/>
  <c r="P19" i="39" s="1"/>
  <c r="O20" i="39"/>
  <c r="P20" i="39" s="1"/>
  <c r="O21" i="39"/>
  <c r="P21" i="39" s="1"/>
  <c r="O22" i="39"/>
  <c r="P22" i="39" s="1"/>
  <c r="O23" i="39"/>
  <c r="P23" i="39" s="1"/>
  <c r="O24" i="39"/>
  <c r="P24" i="39" s="1"/>
  <c r="O25" i="39"/>
  <c r="P25" i="39" s="1"/>
  <c r="O26" i="39"/>
  <c r="P26" i="39" s="1"/>
  <c r="O27" i="39"/>
  <c r="P27" i="39" s="1"/>
  <c r="O28" i="39"/>
  <c r="P28" i="39" s="1"/>
  <c r="O29" i="39"/>
  <c r="P29" i="39" s="1"/>
  <c r="O30" i="39"/>
  <c r="P30" i="39" s="1"/>
  <c r="E35" i="23" l="1"/>
  <c r="E33" i="21"/>
  <c r="E34" i="24"/>
  <c r="E34" i="26"/>
  <c r="E35" i="28"/>
  <c r="E31" i="21"/>
  <c r="L3" i="23" s="1"/>
  <c r="E35" i="30"/>
  <c r="E35" i="32"/>
  <c r="E35" i="8"/>
  <c r="E35" i="25"/>
  <c r="E35" i="27"/>
  <c r="E34" i="29"/>
  <c r="E34" i="31"/>
  <c r="O3" i="39"/>
  <c r="O4" i="39"/>
  <c r="O5" i="39"/>
  <c r="O6" i="39"/>
  <c r="O7" i="39"/>
  <c r="O2" i="39"/>
  <c r="E32" i="21" l="1"/>
  <c r="G33" i="21"/>
  <c r="G34" i="21"/>
  <c r="G31" i="21"/>
  <c r="P7" i="39"/>
  <c r="P3" i="39"/>
  <c r="P4" i="39"/>
  <c r="P5" i="39"/>
  <c r="P6" i="39"/>
  <c r="P2" i="39"/>
  <c r="E33" i="32" l="1"/>
  <c r="E32" i="31"/>
  <c r="E33" i="30"/>
  <c r="E33" i="28"/>
  <c r="E33" i="25"/>
  <c r="E34" i="28" l="1"/>
  <c r="L3" i="29"/>
  <c r="E34" i="30"/>
  <c r="L2" i="32"/>
  <c r="E33" i="31"/>
  <c r="L3" i="32"/>
  <c r="E34" i="32"/>
  <c r="L4" i="32"/>
  <c r="E34" i="25"/>
  <c r="L3" i="26"/>
  <c r="G36" i="30"/>
  <c r="G35" i="32"/>
  <c r="G36" i="32"/>
  <c r="G34" i="31"/>
  <c r="G36" i="27"/>
  <c r="G33" i="25"/>
  <c r="G34" i="25" s="1"/>
  <c r="G36" i="25"/>
  <c r="G35" i="29"/>
  <c r="G35" i="25"/>
  <c r="E33" i="27"/>
  <c r="G34" i="29"/>
  <c r="E32" i="29"/>
  <c r="G36" i="28"/>
  <c r="G35" i="31"/>
  <c r="G33" i="32"/>
  <c r="G34" i="32" s="1"/>
  <c r="G32" i="31"/>
  <c r="G33" i="31" s="1"/>
  <c r="G35" i="30"/>
  <c r="G33" i="30"/>
  <c r="G34" i="30" s="1"/>
  <c r="G32" i="29"/>
  <c r="G33" i="29" s="1"/>
  <c r="G35" i="28"/>
  <c r="G33" i="28"/>
  <c r="G34" i="28" s="1"/>
  <c r="G35" i="27"/>
  <c r="G33" i="27"/>
  <c r="G34" i="27" s="1"/>
  <c r="G35" i="26"/>
  <c r="E32" i="26"/>
  <c r="G34" i="26"/>
  <c r="G32" i="26"/>
  <c r="G33" i="26" s="1"/>
  <c r="E32" i="24"/>
  <c r="G34" i="24"/>
  <c r="G35" i="24"/>
  <c r="G32" i="24"/>
  <c r="G33" i="24" s="1"/>
  <c r="E34" i="27" l="1"/>
  <c r="L2" i="29"/>
  <c r="E33" i="29"/>
  <c r="L4" i="29"/>
  <c r="L5" i="32"/>
  <c r="L6" i="32" s="1"/>
  <c r="L7" i="32"/>
  <c r="E33" i="26"/>
  <c r="L4" i="26"/>
  <c r="E33" i="24"/>
  <c r="L2" i="26"/>
  <c r="G35" i="23"/>
  <c r="G33" i="23"/>
  <c r="G34" i="23" s="1"/>
  <c r="E33" i="23"/>
  <c r="G36" i="23"/>
  <c r="L7" i="29" l="1"/>
  <c r="L5" i="29"/>
  <c r="L6" i="29" s="1"/>
  <c r="L7" i="26"/>
  <c r="L5" i="26"/>
  <c r="L6" i="26" s="1"/>
  <c r="E34" i="23"/>
  <c r="L4" i="23"/>
  <c r="G35" i="8"/>
  <c r="G36" i="8"/>
  <c r="G33" i="8"/>
  <c r="G34" i="8" s="1"/>
  <c r="G32" i="21" l="1"/>
  <c r="E33" i="8"/>
  <c r="E34" i="8" l="1"/>
  <c r="L2" i="23"/>
  <c r="L7" i="23" l="1"/>
  <c r="L5" i="23"/>
  <c r="L6" i="23" s="1"/>
</calcChain>
</file>

<file path=xl/sharedStrings.xml><?xml version="1.0" encoding="utf-8"?>
<sst xmlns="http://schemas.openxmlformats.org/spreadsheetml/2006/main" count="664" uniqueCount="95">
  <si>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</si>
  <si>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</si>
  <si>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</si>
  <si>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</si>
  <si>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</si>
  <si>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</si>
  <si>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</si>
  <si>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</si>
  <si>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</si>
  <si>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</si>
  <si>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</si>
  <si>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</si>
  <si>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</si>
  <si>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</si>
  <si>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</si>
  <si>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</si>
  <si>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</si>
  <si>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</si>
  <si>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</si>
  <si>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</si>
  <si>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</si>
  <si>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</si>
  <si>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</si>
  <si>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</si>
  <si>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</si>
  <si>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</si>
  <si>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</si>
  <si>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</si>
  <si>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</si>
  <si>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</si>
  <si>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</si>
  <si>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</si>
  <si>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</si>
  <si>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</si>
  <si>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</si>
  <si>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</si>
  <si>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</si>
  <si>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</si>
  <si>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</si>
  <si>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</si>
  <si>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</si>
  <si>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</si>
  <si>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</si>
  <si>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</si>
  <si>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</si>
  <si>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</si>
  <si>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</si>
  <si>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</si>
  <si>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</si>
  <si>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</si>
  <si>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</si>
  <si>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</si>
  <si>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</si>
  <si>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</si>
  <si>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</si>
  <si>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</si>
  <si>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</si>
  <si>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</si>
  <si>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</si>
  <si>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</si>
  <si>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</si>
  <si>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일일 4시간까지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</si>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</sst>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4" name="btnRegenerate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6DBC4038-0135-4208-8D94-DA58CBF6E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0"/>
  <sheetViews>
    <sheetView tabSelected="1" workbookViewId="0">
      <selection activeCell="J11" sqref="J11"/>
    </sheetView>
  </sheetViews>
  <sheetFormatPr defaultRowHeight="16.5"/>
  <cols>
    <col min="5" max="5" width="10.25" customWidth="1"/>
  </cols>
  <sheetData>
    <row r="1" spans="1:11" ht="17.25" thickBot="1">
      <c r="A1" s="60" t="s">
        <v>38</v>
      </c>
      <c r="B1" s="73">
        <v>2026</v>
      </c>
      <c r="E1" t="s">
        <v>77</v>
      </c>
    </row>
    <row r="2" spans="1:11" ht="18" thickTop="1" thickBot="1">
      <c r="A2" s="61" t="s">
        <v>46</v>
      </c>
      <c r="B2" s="15">
        <v>4</v>
      </c>
    </row>
    <row r="3" spans="1:11" ht="18" thickTop="1" thickBot="1">
      <c r="A3" s="61" t="s">
        <v>37</v>
      </c>
      <c r="B3" s="15">
        <v>47</v>
      </c>
      <c r="E3" t="s">
        <v>40</v>
      </c>
    </row>
    <row r="4" spans="1:11" ht="18" thickTop="1" thickBot="1">
      <c r="A4" s="61" t="s">
        <v>35</v>
      </c>
      <c r="B4" s="74">
        <v>0.25</v>
      </c>
      <c r="E4" t="s">
        <v>57</v>
      </c>
    </row>
    <row r="5" spans="1:11" ht="18" thickTop="1" thickBot="1">
      <c r="A5" s="61" t="s">
        <v>36</v>
      </c>
      <c r="B5" s="74">
        <v>0.91666666666666663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E7" t="s">
        <v>74</v>
      </c>
    </row>
    <row r="8" spans="1:11">
      <c r="E8" t="s">
        <v>75</v>
      </c>
    </row>
    <row r="9" spans="1:11">
      <c r="E9" t="s">
        <v>76</v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4</v>
      </c>
      <c r="K12" t="s">
        <v>51</v>
      </c>
    </row>
    <row r="13" spans="1:11" ht="18" thickTop="1" thickBot="1">
      <c r="E13" s="62" t="s">
        <v>37</v>
      </c>
      <c r="F13" s="15">
        <v>67</v>
      </c>
      <c r="H13" s="62" t="s">
        <v>37</v>
      </c>
      <c r="I13" s="15">
        <v>47</v>
      </c>
      <c r="K13" t="s">
        <v>52</v>
      </c>
    </row>
    <row r="14" spans="1:11" ht="18" thickTop="1" thickBot="1">
      <c r="E14" s="62" t="s">
        <v>35</v>
      </c>
      <c r="F14" s="74">
        <v>0.16666666666666666</v>
      </c>
      <c r="H14" s="62" t="s">
        <v>35</v>
      </c>
      <c r="I14" s="74">
        <v>0.25</v>
      </c>
      <c r="K14" t="s">
        <v>53</v>
      </c>
    </row>
    <row r="15" spans="1:11" ht="18" thickTop="1" thickBot="1">
      <c r="E15" s="62" t="s">
        <v>36</v>
      </c>
      <c r="F15" s="74">
        <v>0.95833333333333337</v>
      </c>
      <c r="H15" s="62" t="s">
        <v>36</v>
      </c>
      <c r="I15" s="74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1" spans="5:5">
      <c r="E21" t="s">
        <v>63</v>
      </c>
    </row>
    <row r="22" spans="5:5">
      <c r="E22" t="s">
        <v>61</v>
      </c>
    </row>
    <row r="23" spans="5:5">
      <c r="E23" t="s">
        <v>62</v>
      </c>
    </row>
    <row r="25" spans="5:5">
      <c r="E25" t="s">
        <v>49</v>
      </c>
    </row>
    <row r="26" spans="5:5">
      <c r="E26" t="s">
        <v>60</v>
      </c>
    </row>
    <row r="27" spans="5:5">
      <c r="E27" t="s">
        <v>59</v>
      </c>
    </row>
    <row r="28" spans="5:5">
      <c r="E28" t="s">
        <v>58</v>
      </c>
    </row>
    <row r="29" spans="5:5">
      <c r="E29" t="s">
        <v>50</v>
      </c>
    </row>
    <row r="30" spans="5:5">
      <c r="E30" t="s">
        <v>48</v>
      </c>
    </row>
  </sheetData>
  <phoneticPr fontId="1" type="noConversion"/>
  <dataValidations count="1">
    <dataValidation type="list" allowBlank="1" showInputMessage="1" showErrorMessage="1" sqref="I16 F16 B6" xr:uid="{F109FF6E-09C0-4365-A0B9-861B29189246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SUM(SUMIF('1월'!I:I, A2, '1월'!J:J),SUMIF('2월'!I:I, A2, '2월'!J:J),SUMIF('3월'!I:I, A2, '3월'!J:J),SUMIF('4월'!I:I, A2, '4월'!J:J),SUMIF('5월'!I:I, A2, '5월'!J:J),SUMIF('6월'!I:I, A2, '6월'!J:J),SUMIF('7월'!I:I, A2, '7월'!J:J),SUMIF('8월'!I:I, A2, '8월'!J:J),SUMIF('9월'!I:I, A2, '9월'!J:J),SUMIF('10월'!I:I, A2, '10월'!J:J),SUMIF('11월'!I:I, A2, '11월'!J:J),SUMIF('12월'!I:I, A2, '12월'!J:J))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SUM(SUMIF('1월'!I:I, A3, '1월'!J:J),SUMIF('2월'!I:I, A3, '2월'!J:J),SUMIF('3월'!I:I, A3, '3월'!J:J),SUMIF('4월'!I:I, A3, '4월'!J:J),SUMIF('5월'!I:I, A3, '5월'!J:J),SUMIF('6월'!I:I, A3, '6월'!J:J),SUMIF('7월'!I:I, A3, '7월'!J:J),SUMIF('8월'!I:I, A3, '8월'!J:J),SUMIF('9월'!I:I, A3, '9월'!J:J),SUMIF('10월'!I:I, A3, '10월'!J:J),SUMIF('11월'!I:I, A3, '11월'!J:J),SUMIF('12월'!I:I, A3, '12월'!J:J))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SUM(SUMIF('1월'!I:I, A4, '1월'!J:J),SUMIF('2월'!I:I, A4, '2월'!J:J),SUMIF('3월'!I:I, A4, '3월'!J:J),SUMIF('4월'!I:I, A4, '4월'!J:J),SUMIF('5월'!I:I, A4, '5월'!J:J),SUMIF('6월'!I:I, A4, '6월'!J:J),SUMIF('7월'!I:I, A4, '7월'!J:J),SUMIF('8월'!I:I, A4, '8월'!J:J),SUMIF('9월'!I:I, A4, '9월'!J:J),SUMIF('10월'!I:I, A4, '10월'!J:J),SUMIF('11월'!I:I, A4, '11월'!J:J),SUMIF('12월'!I:I, A4, '12월'!J:J))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SUM(SUMIF('1월'!I:I, A5, '1월'!J:J),SUMIF('2월'!I:I, A5, '2월'!J:J),SUMIF('3월'!I:I, A5, '3월'!J:J),SUMIF('4월'!I:I, A5, '4월'!J:J),SUMIF('5월'!I:I, A5, '5월'!J:J),SUMIF('6월'!I:I, A5, '6월'!J:J),SUMIF('7월'!I:I, A5, '7월'!J:J),SUMIF('8월'!I:I, A5, '8월'!J:J),SUMIF('9월'!I:I, A5, '9월'!J:J),SUMIF('10월'!I:I, A5, '10월'!J:J),SUMIF('11월'!I:I, A5, '11월'!J:J),SUMIF('12월'!I:I, A5, '12월'!J:J))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SUM(SUMIF('1월'!I:I, A6, '1월'!J:J),SUMIF('2월'!I:I, A6, '2월'!J:J),SUMIF('3월'!I:I, A6, '3월'!J:J),SUMIF('4월'!I:I, A6, '4월'!J:J),SUMIF('5월'!I:I, A6, '5월'!J:J),SUMIF('6월'!I:I, A6, '6월'!J:J),SUMIF('7월'!I:I, A6, '7월'!J:J),SUMIF('8월'!I:I, A6, '8월'!J:J),SUMIF('9월'!I:I, A6, '9월'!J:J),SUMIF('10월'!I:I, A6, '10월'!J:J),SUMIF('11월'!I:I, A6, '11월'!J:J),SUMIF('12월'!I:I, A6, '12월'!J:J))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SUM(SUMIF('1월'!I:I, A7, '1월'!J:J),SUMIF('2월'!I:I, A7, '2월'!J:J),SUMIF('3월'!I:I, A7, '3월'!J:J),SUMIF('4월'!I:I, A7, '4월'!J:J),SUMIF('5월'!I:I, A7, '5월'!J:J),SUMIF('6월'!I:I, A7, '6월'!J:J),SUMIF('7월'!I:I, A7, '7월'!J:J),SUMIF('8월'!I:I, A7, '8월'!J:J),SUMIF('9월'!I:I, A7, '9월'!J:J),SUMIF('10월'!I:I, A7, '10월'!J:J),SUMIF('11월'!I:I, A7, '11월'!J:J),SUMIF('12월'!I:I, A7, '12월'!J:J))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SUM(SUMIF('1월'!I:I, A8, '1월'!J:J),SUMIF('2월'!I:I, A8, '2월'!J:J),SUMIF('3월'!I:I, A8, '3월'!J:J),SUMIF('4월'!I:I, A8, '4월'!J:J),SUMIF('5월'!I:I, A8, '5월'!J:J),SUMIF('6월'!I:I, A8, '6월'!J:J),SUMIF('7월'!I:I, A8, '7월'!J:J),SUMIF('8월'!I:I, A8, '8월'!J:J),SUMIF('9월'!I:I, A8, '9월'!J:J),SUMIF('10월'!I:I, A8, '10월'!J:J),SUMIF('11월'!I:I, A8, '11월'!J:J),SUMIF('12월'!I:I, A8, '12월'!J:J))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SUM(SUMIF('1월'!I:I, A9, '1월'!J:J),SUMIF('2월'!I:I, A9, '2월'!J:J),SUMIF('3월'!I:I, A9, '3월'!J:J),SUMIF('4월'!I:I, A9, '4월'!J:J),SUMIF('5월'!I:I, A9, '5월'!J:J),SUMIF('6월'!I:I, A9, '6월'!J:J),SUMIF('7월'!I:I, A9, '7월'!J:J),SUMIF('8월'!I:I, A9, '8월'!J:J),SUMIF('9월'!I:I, A9, '9월'!J:J),SUMIF('10월'!I:I, A9, '10월'!J:J),SUMIF('11월'!I:I, A9, '11월'!J:J),SUMIF('12월'!I:I, A9, '12월'!J:J))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SUM(SUMIF('1월'!I:I, A10, '1월'!J:J),SUMIF('2월'!I:I, A10, '2월'!J:J),SUMIF('3월'!I:I, A10, '3월'!J:J),SUMIF('4월'!I:I, A10, '4월'!J:J),SUMIF('5월'!I:I, A10, '5월'!J:J),SUMIF('6월'!I:I, A10, '6월'!J:J),SUMIF('7월'!I:I, A10, '7월'!J:J),SUMIF('8월'!I:I, A10, '8월'!J:J),SUMIF('9월'!I:I, A10, '9월'!J:J),SUMIF('10월'!I:I, A10, '10월'!J:J),SUMIF('11월'!I:I, A10, '11월'!J:J),SUMIF('12월'!I:I, A10, '12월'!J:J))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SUM(SUMIF('1월'!I:I, A11, '1월'!J:J),SUMIF('2월'!I:I, A11, '2월'!J:J),SUMIF('3월'!I:I, A11, '3월'!J:J),SUMIF('4월'!I:I, A11, '4월'!J:J),SUMIF('5월'!I:I, A11, '5월'!J:J),SUMIF('6월'!I:I, A11, '6월'!J:J),SUMIF('7월'!I:I, A11, '7월'!J:J),SUMIF('8월'!I:I, A11, '8월'!J:J),SUMIF('9월'!I:I, A11, '9월'!J:J),SUMIF('10월'!I:I, A11, '10월'!J:J),SUMIF('11월'!I:I, A11, '11월'!J:J),SUMIF('12월'!I:I, A11, '12월'!J:J))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SUM(SUMIF('1월'!I:I, A12, '1월'!J:J),SUMIF('2월'!I:I, A12, '2월'!J:J),SUMIF('3월'!I:I, A12, '3월'!J:J),SUMIF('4월'!I:I, A12, '4월'!J:J),SUMIF('5월'!I:I, A12, '5월'!J:J),SUMIF('6월'!I:I, A12, '6월'!J:J),SUMIF('7월'!I:I, A12, '7월'!J:J),SUMIF('8월'!I:I, A12, '8월'!J:J),SUMIF('9월'!I:I, A12, '9월'!J:J),SUMIF('10월'!I:I, A12, '10월'!J:J),SUMIF('11월'!I:I, A12, '11월'!J:J),SUMIF('12월'!I:I, A12, '12월'!J:J))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SUM(SUMIF('1월'!I:I, A13, '1월'!J:J),SUMIF('2월'!I:I, A13, '2월'!J:J),SUMIF('3월'!I:I, A13, '3월'!J:J),SUMIF('4월'!I:I, A13, '4월'!J:J),SUMIF('5월'!I:I, A13, '5월'!J:J),SUMIF('6월'!I:I, A13, '6월'!J:J),SUMIF('7월'!I:I, A13, '7월'!J:J),SUMIF('8월'!I:I, A13, '8월'!J:J),SUMIF('9월'!I:I, A13, '9월'!J:J),SUMIF('10월'!I:I, A13, '10월'!J:J),SUMIF('11월'!I:I, A13, '11월'!J:J),SUMIF('12월'!I:I, A13, '12월'!J:J))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SUM(SUMIF('1월'!I:I, A14, '1월'!J:J),SUMIF('2월'!I:I, A14, '2월'!J:J),SUMIF('3월'!I:I, A14, '3월'!J:J),SUMIF('4월'!I:I, A14, '4월'!J:J),SUMIF('5월'!I:I, A14, '5월'!J:J),SUMIF('6월'!I:I, A14, '6월'!J:J),SUMIF('7월'!I:I, A14, '7월'!J:J),SUMIF('8월'!I:I, A14, '8월'!J:J),SUMIF('9월'!I:I, A14, '9월'!J:J),SUMIF('10월'!I:I, A14, '10월'!J:J),SUMIF('11월'!I:I, A14, '11월'!J:J),SUMIF('12월'!I:I, A14, '12월'!J:J))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SUM(SUMIF('1월'!I:I, A15, '1월'!J:J),SUMIF('2월'!I:I, A15, '2월'!J:J),SUMIF('3월'!I:I, A15, '3월'!J:J),SUMIF('4월'!I:I, A15, '4월'!J:J),SUMIF('5월'!I:I, A15, '5월'!J:J),SUMIF('6월'!I:I, A15, '6월'!J:J),SUMIF('7월'!I:I, A15, '7월'!J:J),SUMIF('8월'!I:I, A15, '8월'!J:J),SUMIF('9월'!I:I, A15, '9월'!J:J),SUMIF('10월'!I:I, A15, '10월'!J:J),SUMIF('11월'!I:I, A15, '11월'!J:J),SUMIF('12월'!I:I, A15, '12월'!J:J))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SUM(SUMIF('1월'!I:I, A16, '1월'!J:J),SUMIF('2월'!I:I, A16, '2월'!J:J),SUMIF('3월'!I:I, A16, '3월'!J:J),SUMIF('4월'!I:I, A16, '4월'!J:J),SUMIF('5월'!I:I, A16, '5월'!J:J),SUMIF('6월'!I:I, A16, '6월'!J:J),SUMIF('7월'!I:I, A16, '7월'!J:J),SUMIF('8월'!I:I, A16, '8월'!J:J),SUMIF('9월'!I:I, A16, '9월'!J:J),SUMIF('10월'!I:I, A16, '10월'!J:J),SUMIF('11월'!I:I, A16, '11월'!J:J),SUMIF('12월'!I:I, A16, '12월'!J:J))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SUM(SUMIF('1월'!I:I, A17, '1월'!J:J),SUMIF('2월'!I:I, A17, '2월'!J:J),SUMIF('3월'!I:I, A17, '3월'!J:J),SUMIF('4월'!I:I, A17, '4월'!J:J),SUMIF('5월'!I:I, A17, '5월'!J:J),SUMIF('6월'!I:I, A17, '6월'!J:J),SUMIF('7월'!I:I, A17, '7월'!J:J),SUMIF('8월'!I:I, A17, '8월'!J:J),SUMIF('9월'!I:I, A17, '9월'!J:J),SUMIF('10월'!I:I, A17, '10월'!J:J),SUMIF('11월'!I:I, A17, '11월'!J:J),SUMIF('12월'!I:I, A17, '12월'!J:J))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SUM(SUMIF('1월'!I:I, A18, '1월'!J:J),SUMIF('2월'!I:I, A18, '2월'!J:J),SUMIF('3월'!I:I, A18, '3월'!J:J),SUMIF('4월'!I:I, A18, '4월'!J:J),SUMIF('5월'!I:I, A18, '5월'!J:J),SUMIF('6월'!I:I, A18, '6월'!J:J),SUMIF('7월'!I:I, A18, '7월'!J:J),SUMIF('8월'!I:I, A18, '8월'!J:J),SUMIF('9월'!I:I, A18, '9월'!J:J),SUMIF('10월'!I:I, A18, '10월'!J:J),SUMIF('11월'!I:I, A18, '11월'!J:J),SUMIF('12월'!I:I, A18, '12월'!J:J))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SUM(SUMIF('1월'!I:I, A19, '1월'!J:J),SUMIF('2월'!I:I, A19, '2월'!J:J),SUMIF('3월'!I:I, A19, '3월'!J:J),SUMIF('4월'!I:I, A19, '4월'!J:J),SUMIF('5월'!I:I, A19, '5월'!J:J),SUMIF('6월'!I:I, A19, '6월'!J:J),SUMIF('7월'!I:I, A19, '7월'!J:J),SUMIF('8월'!I:I, A19, '8월'!J:J),SUMIF('9월'!I:I, A19, '9월'!J:J),SUMIF('10월'!I:I, A19, '10월'!J:J),SUMIF('11월'!I:I, A19, '11월'!J:J),SUMIF('12월'!I:I, A19, '12월'!J:J))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SUM(SUMIF('1월'!I:I, A20, '1월'!J:J),SUMIF('2월'!I:I, A20, '2월'!J:J),SUMIF('3월'!I:I, A20, '3월'!J:J),SUMIF('4월'!I:I, A20, '4월'!J:J),SUMIF('5월'!I:I, A20, '5월'!J:J),SUMIF('6월'!I:I, A20, '6월'!J:J),SUMIF('7월'!I:I, A20, '7월'!J:J),SUMIF('8월'!I:I, A20, '8월'!J:J),SUMIF('9월'!I:I, A20, '9월'!J:J),SUMIF('10월'!I:I, A20, '10월'!J:J),SUMIF('11월'!I:I, A20, '11월'!J:J),SUMIF('12월'!I:I, A20, '12월'!J:J))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SUM(SUMIF('1월'!I:I, A21, '1월'!J:J),SUMIF('2월'!I:I, A21, '2월'!J:J),SUMIF('3월'!I:I, A21, '3월'!J:J),SUMIF('4월'!I:I, A21, '4월'!J:J),SUMIF('5월'!I:I, A21, '5월'!J:J),SUMIF('6월'!I:I, A21, '6월'!J:J),SUMIF('7월'!I:I, A21, '7월'!J:J),SUMIF('8월'!I:I, A21, '8월'!J:J),SUMIF('9월'!I:I, A21, '9월'!J:J),SUMIF('10월'!I:I, A21, '10월'!J:J),SUMIF('11월'!I:I, A21, '11월'!J:J),SUMIF('12월'!I:I, A21, '12월'!J:J))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SUM(SUMIF('1월'!I:I, A22, '1월'!J:J),SUMIF('2월'!I:I, A22, '2월'!J:J),SUMIF('3월'!I:I, A22, '3월'!J:J),SUMIF('4월'!I:I, A22, '4월'!J:J),SUMIF('5월'!I:I, A22, '5월'!J:J),SUMIF('6월'!I:I, A22, '6월'!J:J),SUMIF('7월'!I:I, A22, '7월'!J:J),SUMIF('8월'!I:I, A22, '8월'!J:J),SUMIF('9월'!I:I, A22, '9월'!J:J),SUMIF('10월'!I:I, A22, '10월'!J:J),SUMIF('11월'!I:I, A22, '11월'!J:J),SUMIF('12월'!I:I, A22, '12월'!J:J))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SUM(SUMIF('1월'!I:I, A23, '1월'!J:J),SUMIF('2월'!I:I, A23, '2월'!J:J),SUMIF('3월'!I:I, A23, '3월'!J:J),SUMIF('4월'!I:I, A23, '4월'!J:J),SUMIF('5월'!I:I, A23, '5월'!J:J),SUMIF('6월'!I:I, A23, '6월'!J:J),SUMIF('7월'!I:I, A23, '7월'!J:J),SUMIF('8월'!I:I, A23, '8월'!J:J),SUMIF('9월'!I:I, A23, '9월'!J:J),SUMIF('10월'!I:I, A23, '10월'!J:J),SUMIF('11월'!I:I, A23, '11월'!J:J),SUMIF('12월'!I:I, A23, '12월'!J:J))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SUM(SUMIF('1월'!I:I, A24, '1월'!J:J),SUMIF('2월'!I:I, A24, '2월'!J:J),SUMIF('3월'!I:I, A24, '3월'!J:J),SUMIF('4월'!I:I, A24, '4월'!J:J),SUMIF('5월'!I:I, A24, '5월'!J:J),SUMIF('6월'!I:I, A24, '6월'!J:J),SUMIF('7월'!I:I, A24, '7월'!J:J),SUMIF('8월'!I:I, A24, '8월'!J:J),SUMIF('9월'!I:I, A24, '9월'!J:J),SUMIF('10월'!I:I, A24, '10월'!J:J),SUMIF('11월'!I:I, A24, '11월'!J:J),SUMIF('12월'!I:I, A24, '12월'!J:J))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SUM(SUMIF('1월'!I:I, A25, '1월'!J:J),SUMIF('2월'!I:I, A25, '2월'!J:J),SUMIF('3월'!I:I, A25, '3월'!J:J),SUMIF('4월'!I:I, A25, '4월'!J:J),SUMIF('5월'!I:I, A25, '5월'!J:J),SUMIF('6월'!I:I, A25, '6월'!J:J),SUMIF('7월'!I:I, A25, '7월'!J:J),SUMIF('8월'!I:I, A25, '8월'!J:J),SUMIF('9월'!I:I, A25, '9월'!J:J),SUMIF('10월'!I:I, A25, '10월'!J:J),SUMIF('11월'!I:I, A25, '11월'!J:J),SUMIF('12월'!I:I, A25, '12월'!J:J))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SUM(SUMIF('1월'!I:I, A26, '1월'!J:J),SUMIF('2월'!I:I, A26, '2월'!J:J),SUMIF('3월'!I:I, A26, '3월'!J:J),SUMIF('4월'!I:I, A26, '4월'!J:J),SUMIF('5월'!I:I, A26, '5월'!J:J),SUMIF('6월'!I:I, A26, '6월'!J:J),SUMIF('7월'!I:I, A26, '7월'!J:J),SUMIF('8월'!I:I, A26, '8월'!J:J),SUMIF('9월'!I:I, A26, '9월'!J:J),SUMIF('10월'!I:I, A26, '10월'!J:J),SUMIF('11월'!I:I, A26, '11월'!J:J),SUMIF('12월'!I:I, A26, '12월'!J:J))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SUM(SUMIF('1월'!I:I, A27, '1월'!J:J),SUMIF('2월'!I:I, A27, '2월'!J:J),SUMIF('3월'!I:I, A27, '3월'!J:J),SUMIF('4월'!I:I, A27, '4월'!J:J),SUMIF('5월'!I:I, A27, '5월'!J:J),SUMIF('6월'!I:I, A27, '6월'!J:J),SUMIF('7월'!I:I, A27, '7월'!J:J),SUMIF('8월'!I:I, A27, '8월'!J:J),SUMIF('9월'!I:I, A27, '9월'!J:J),SUMIF('10월'!I:I, A27, '10월'!J:J),SUMIF('11월'!I:I, A27, '11월'!J:J),SUMIF('12월'!I:I, A27, '12월'!J:J))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SUM(SUMIF('1월'!I:I, A28, '1월'!J:J),SUMIF('2월'!I:I, A28, '2월'!J:J),SUMIF('3월'!I:I, A28, '3월'!J:J),SUMIF('4월'!I:I, A28, '4월'!J:J),SUMIF('5월'!I:I, A28, '5월'!J:J),SUMIF('6월'!I:I, A28, '6월'!J:J),SUMIF('7월'!I:I, A28, '7월'!J:J),SUMIF('8월'!I:I, A28, '8월'!J:J),SUMIF('9월'!I:I, A28, '9월'!J:J),SUMIF('10월'!I:I, A28, '10월'!J:J),SUMIF('11월'!I:I, A28, '11월'!J:J),SUMIF('12월'!I:I, A28, '12월'!J:J))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SUM(SUMIF('1월'!I:I, A29, '1월'!J:J),SUMIF('2월'!I:I, A29, '2월'!J:J),SUMIF('3월'!I:I, A29, '3월'!J:J),SUMIF('4월'!I:I, A29, '4월'!J:J),SUMIF('5월'!I:I, A29, '5월'!J:J),SUMIF('6월'!I:I, A29, '6월'!J:J),SUMIF('7월'!I:I, A29, '7월'!J:J),SUMIF('8월'!I:I, A29, '8월'!J:J),SUMIF('9월'!I:I, A29, '9월'!J:J),SUMIF('10월'!I:I, A29, '10월'!J:J),SUMIF('11월'!I:I, A29, '11월'!J:J),SUMIF('12월'!I:I, A29, '12월'!J:J))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SUM(SUMIF('1월'!I:I, A30, '1월'!J:J),SUMIF('2월'!I:I, A30, '2월'!J:J),SUMIF('3월'!I:I, A30, '3월'!J:J),SUMIF('4월'!I:I, A30, '4월'!J:J),SUMIF('5월'!I:I, A30, '5월'!J:J),SUMIF('6월'!I:I, A30, '6월'!J:J),SUMIF('7월'!I:I, A30, '7월'!J:J),SUMIF('8월'!I:I, A30, '8월'!J:J),SUMIF('9월'!I:I, A30, '9월'!J:J),SUMIF('10월'!I:I, A30, '10월'!J:J),SUMIF('11월'!I:I, A30, '11월'!J:J),SUMIF('12월'!I:I, A30, '12월'!J:J))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37"/>
  <sheetViews>
    <sheetView workbookViewId="0">
      <selection activeCell="D8" sqref="D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.625" style="22" customWidth="1"/>
    <col min="13" max="15" width="7.375" style="2" customWidth="1"/>
    <col min="16" max="16" width="9.25" style="2" customWidth="1"/>
    <col min="17" max="17" width="11.25" style="2" bestFit="1" customWidth="1"/>
    <col min="18" max="18" width="7.375" style="2" customWidth="1"/>
    <col min="19" max="16384" width="9" style="2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L1"/>
      <c r="M1"/>
      <c r="N1"/>
      <c r="O1"/>
      <c r="P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6"/>
      <c r="L2" s="21"/>
      <c r="M2"/>
      <c r="N2"/>
      <c r="O2"/>
      <c r="P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H3" s="6"/>
      <c r="L3" s="21"/>
      <c r="M3"/>
      <c r="N3"/>
      <c r="O3"/>
      <c r="P3" s="59"/>
      <c r="Q3"/>
      <c r="R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L4" s="21"/>
      <c r="M4"/>
      <c r="N4"/>
      <c r="O4"/>
      <c r="P4"/>
      <c r="Q4"/>
      <c r="R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L5"/>
      <c r="M5"/>
      <c r="N5"/>
      <c r="O5"/>
      <c r="P5"/>
      <c r="Q5"/>
      <c r="R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4.3055555555555514E-2</v>
      </c>
      <c r="F6" s="8">
        <f>IF($B6="휴일",IF(설정!$B$6="예",IF(ROUND($E6*86400,0)&gt;=3660,1,0),0),IF(ISBLANK(C6),0,IF(C6&lt;=TIME(7,59,59),1,0)))</f>
        <v>1</v>
      </c>
      <c r="G6" s="8">
        <f t="shared" si="0"/>
        <v>1</v>
      </c>
      <c r="H6" s="6"/>
      <c r="L6"/>
      <c r="M6"/>
      <c r="N6"/>
      <c r="O6"/>
      <c r="P6"/>
      <c r="Q6"/>
      <c r="R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L7"/>
      <c r="M7"/>
      <c r="N7"/>
      <c r="O7"/>
      <c r="P7"/>
      <c r="Q7"/>
      <c r="R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L8"/>
      <c r="M8"/>
      <c r="N8"/>
      <c r="O8"/>
      <c r="P8"/>
      <c r="Q8"/>
      <c r="R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L9"/>
      <c r="M9"/>
      <c r="N9"/>
      <c r="O9"/>
      <c r="P9"/>
      <c r="Q9"/>
      <c r="R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L10"/>
      <c r="M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3"/>
      <c r="D11" s="3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L11"/>
      <c r="M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L12"/>
      <c r="M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L13"/>
      <c r="M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L14"/>
      <c r="M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L15"/>
      <c r="M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L16"/>
      <c r="M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L17"/>
      <c r="M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L18"/>
      <c r="M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</row>
    <row r="33" spans="1:8">
      <c r="A33" s="6"/>
      <c r="B33" s="55"/>
      <c r="C33" s="5"/>
      <c r="D33" s="11" t="s">
        <v>5</v>
      </c>
      <c r="E33" s="13">
        <f>SUM(E2:E32)</f>
        <v>4.3055555555555514E-2</v>
      </c>
      <c r="F33" s="6" t="s">
        <v>7</v>
      </c>
      <c r="G33" s="14">
        <f>IF(SUM(F2:G32)&gt;=20,20,SUM(F2:G32))</f>
        <v>2</v>
      </c>
      <c r="H33"/>
    </row>
    <row r="34" spans="1:8">
      <c r="A34" s="6"/>
      <c r="B34" s="55"/>
      <c r="C34" s="6"/>
      <c r="D34" s="1" t="s">
        <v>6</v>
      </c>
      <c r="E34" s="12">
        <f>MAX(0, ((설정!$B$3*60) - (E33*1440)) / 1440)</f>
        <v>1.9152777777777779</v>
      </c>
      <c r="F34" s="1" t="s">
        <v>6</v>
      </c>
      <c r="G34" s="7">
        <f>20-G33</f>
        <v>18</v>
      </c>
      <c r="H34"/>
    </row>
    <row r="35" spans="1:8">
      <c r="D35" s="2" t="s">
        <v>8</v>
      </c>
      <c r="E35" s="12">
        <f>IF(SUM(E2:E32)&gt;(설정!$B$3/24),(SUM(E2:E32)-(설정!$B$3/24)),0)</f>
        <v>0</v>
      </c>
      <c r="F35" s="2" t="s">
        <v>8</v>
      </c>
      <c r="G35" s="18">
        <f>IF(SUM(F2:G32)&lt;=20,0,SUM(F2:G32)-20)</f>
        <v>0</v>
      </c>
      <c r="H35"/>
    </row>
    <row r="36" spans="1:8">
      <c r="D36" s="1" t="s">
        <v>32</v>
      </c>
      <c r="E36" s="2">
        <f>IF(설정!$B$6&lt;&gt;"아니오",0,COUNTIFS($B$2:$B$32,"휴일",$C$2:$C$32,"&lt;&gt;"))</f>
        <v>0</v>
      </c>
      <c r="G36" s="2">
        <f>SUM(F2:G32)</f>
        <v>2</v>
      </c>
      <c r="H36"/>
    </row>
    <row r="37" spans="1:8">
      <c r="E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" style="22"/>
    <col min="13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6"/>
      <c r="M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0" si="0">IF($B3="휴일",0,IF(ISBLANK(D3),0,IF(D3&gt;=TIME(19,1,0),1,0)))</f>
        <v>0</v>
      </c>
      <c r="H3" s="6"/>
      <c r="M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L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L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L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L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L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L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L10" s="23"/>
      <c r="M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L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L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L13" s="23"/>
      <c r="M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L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L15" s="23"/>
      <c r="M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L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L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 t="s">
        <v>65</v>
      </c>
      <c r="L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L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L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L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L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L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L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L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L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L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L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30"/>
      <c r="L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5"/>
      <c r="L30" s="23"/>
    </row>
    <row r="31" spans="1:12">
      <c r="A31" s="6"/>
      <c r="B31" s="55"/>
      <c r="C31" s="5"/>
      <c r="D31" s="11" t="s">
        <v>5</v>
      </c>
      <c r="E31" s="13">
        <f>SUM(E2:E30)</f>
        <v>0</v>
      </c>
      <c r="F31" s="6" t="s">
        <v>7</v>
      </c>
      <c r="G31" s="14">
        <f>IF(SUM(F2:G30)&gt;=20,20,SUM(F2:G30))</f>
        <v>0</v>
      </c>
      <c r="H31"/>
      <c r="K31" s="6"/>
      <c r="L31" s="23"/>
    </row>
    <row r="32" spans="1:12">
      <c r="A32" s="6"/>
      <c r="B32" s="55"/>
      <c r="C32" s="6"/>
      <c r="D32" s="1" t="s">
        <v>6</v>
      </c>
      <c r="E32" s="12">
        <f>MAX(0, ((설정!$B$3*60) - (E31*1440)) / 1440)</f>
        <v>1.9583333333333333</v>
      </c>
      <c r="F32" s="1" t="s">
        <v>6</v>
      </c>
      <c r="G32" s="7">
        <f>20-G31</f>
        <v>20</v>
      </c>
      <c r="H32"/>
      <c r="K32" s="6"/>
      <c r="L32" s="23"/>
    </row>
    <row r="33" spans="4:8">
      <c r="D33" s="2" t="s">
        <v>8</v>
      </c>
      <c r="E33" s="12">
        <f>IF(SUM(E2:E30)&gt;(설정!$B$3/24), (SUM(E2:E30)-(설정!$B$3/24)), 0)</f>
        <v>0</v>
      </c>
      <c r="F33" s="2" t="s">
        <v>8</v>
      </c>
      <c r="G33" s="18">
        <f>IF(SUM(F2:G30)&lt;=20,0,SUM(F2:G30)-20)</f>
        <v>0</v>
      </c>
      <c r="H33"/>
    </row>
    <row r="34" spans="4:8">
      <c r="D34" s="1" t="s">
        <v>32</v>
      </c>
      <c r="E34" s="2">
        <f>IF(설정!$B$6&lt;&gt;"아니오",0,COUNTIFS($B$2:$B$30,"휴일",$C$2:$C$30,"&lt;&gt;"))</f>
        <v>0</v>
      </c>
      <c r="G34" s="6">
        <f>SUM(F2:G30)</f>
        <v>0</v>
      </c>
      <c r="H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37"/>
  <sheetViews>
    <sheetView workbookViewId="0">
      <selection activeCell="C4" sqref="C4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1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3"/>
      <c r="J2" s="35"/>
      <c r="K2" s="63" t="s">
        <v>12</v>
      </c>
      <c r="L2" s="70">
        <f>'1월'!$E$33</f>
        <v>4.3055555555555514E-2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H3" s="2" t="s">
        <v>66</v>
      </c>
      <c r="I3" s="33"/>
      <c r="J3" s="35"/>
      <c r="K3" s="63" t="s">
        <v>81</v>
      </c>
      <c r="L3" s="70">
        <f>'2월'!$E$31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82</v>
      </c>
      <c r="L4" s="70">
        <f>'3월'!$E$33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4.3055555555555514E-2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 ((L1*60) - (L5*1440)) / 1440)</f>
        <v>7.3319444444444448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IF(SUM(L2:L4)&gt;(L1/24), (SUM(L2:L4)-(L1/24)), 0)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5"/>
      <c r="I10" s="33"/>
      <c r="J10" s="35"/>
      <c r="K10" s="23"/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45"/>
      <c r="I23" s="33"/>
      <c r="J23" s="35"/>
      <c r="K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45"/>
      <c r="I30" s="33"/>
      <c r="J30" s="35"/>
      <c r="K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9" priority="1">
      <formula>AND($A2&lt;&gt;"",$B2="휴일")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71"/>
      <c r="I2" s="36"/>
      <c r="J2" s="35"/>
      <c r="L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H3" s="72"/>
      <c r="I3" s="37"/>
      <c r="J3" s="35"/>
      <c r="L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72"/>
      <c r="I4" s="33"/>
      <c r="J4" s="35"/>
      <c r="K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72"/>
      <c r="I5" s="33"/>
      <c r="J5" s="35"/>
      <c r="K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72"/>
      <c r="I6" s="33"/>
      <c r="J6" s="35"/>
      <c r="K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72"/>
      <c r="I7" s="33"/>
      <c r="J7" s="35"/>
      <c r="K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72"/>
      <c r="I8" s="33"/>
      <c r="J8" s="35"/>
      <c r="K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72"/>
      <c r="I9" s="33"/>
      <c r="J9" s="35"/>
      <c r="K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72"/>
      <c r="I10" s="33"/>
      <c r="J10" s="35"/>
      <c r="K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72"/>
      <c r="I11" s="33"/>
      <c r="J11" s="35"/>
      <c r="K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72"/>
      <c r="I12" s="33"/>
      <c r="J12" s="35"/>
      <c r="K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72"/>
      <c r="I13" s="33"/>
      <c r="J13" s="35"/>
      <c r="K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72"/>
      <c r="I14" s="33"/>
      <c r="J14" s="35"/>
      <c r="K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72"/>
      <c r="I15" s="33"/>
      <c r="J15" s="35"/>
      <c r="K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72"/>
      <c r="I16" s="33"/>
      <c r="J16" s="35"/>
      <c r="K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72"/>
      <c r="I17" s="33"/>
      <c r="J17" s="35"/>
      <c r="K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72"/>
      <c r="I18" s="33"/>
      <c r="J18" s="35"/>
      <c r="K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72"/>
      <c r="I19" s="33"/>
      <c r="J19" s="35"/>
      <c r="K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72"/>
      <c r="I20" s="33"/>
      <c r="J20" s="35"/>
      <c r="K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72"/>
      <c r="I21" s="33"/>
      <c r="J21" s="35"/>
      <c r="K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72"/>
      <c r="I22" s="33"/>
      <c r="J22" s="35"/>
      <c r="K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72"/>
      <c r="I23" s="33"/>
      <c r="J23" s="35"/>
      <c r="K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72"/>
      <c r="I24" s="33"/>
      <c r="J24" s="35"/>
      <c r="K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72"/>
      <c r="I25" s="33"/>
      <c r="J25" s="35"/>
      <c r="K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72"/>
      <c r="I26" s="33"/>
      <c r="J26" s="35"/>
      <c r="K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72"/>
      <c r="I27" s="33"/>
      <c r="J27" s="35"/>
      <c r="K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72"/>
      <c r="I28" s="33"/>
      <c r="J28" s="35"/>
      <c r="K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IF(SUM(F2:G31)&gt;=20,20,SUM(F2:G31))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1.9583333333333333</v>
      </c>
      <c r="F33" s="1" t="s">
        <v>6</v>
      </c>
      <c r="G33" s="7">
        <f>20-G32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IF(SUM(F2:G31)&lt;=20,0,SUM(F2:G31)-20)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mergeCells count="1">
    <mergeCell ref="H2:H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42"/>
      <c r="I4" s="33"/>
      <c r="J4" s="35"/>
      <c r="K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45"/>
      <c r="I5" s="33"/>
      <c r="J5" s="35"/>
      <c r="K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42" t="s">
        <v>67</v>
      </c>
      <c r="I6" s="33"/>
      <c r="J6" s="35"/>
      <c r="K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2"/>
      <c r="I7" s="33"/>
      <c r="J7" s="35"/>
      <c r="K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66</v>
      </c>
      <c r="I26" s="33"/>
      <c r="J26" s="35"/>
      <c r="K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86</v>
      </c>
      <c r="L2" s="70">
        <f>'4월'!$E$32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87</v>
      </c>
      <c r="L3" s="70">
        <f>'5월'!$E$33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 t="s">
        <v>68</v>
      </c>
      <c r="I4" s="37"/>
      <c r="J4" s="35"/>
      <c r="K4" s="63" t="s">
        <v>88</v>
      </c>
      <c r="L4" s="70">
        <f>'6월'!$E$32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 ((L1*60) - (L5*1440)) / 1440)</f>
        <v>7.375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IF(SUM(L2:L4)&gt;(L1/24), (SUM(L2:L4)-(L1/24)), 0)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2"/>
      <c r="I8" s="33"/>
      <c r="J8" s="35"/>
      <c r="K8" s="23"/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42"/>
      <c r="I15" s="33"/>
      <c r="J15" s="35"/>
      <c r="K15" s="23"/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I16" s="33"/>
      <c r="J16" s="35"/>
      <c r="K16" s="23"/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I19" s="33"/>
      <c r="J19" s="35"/>
      <c r="K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42"/>
      <c r="I22" s="33"/>
      <c r="J22" s="35"/>
      <c r="K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42"/>
      <c r="I30" s="33"/>
      <c r="J30" s="35"/>
      <c r="K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IF(SUM(F2:G31)&gt;=20,20,SUM(F2:G31))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1.9583333333333333</v>
      </c>
      <c r="F33" s="1" t="s">
        <v>6</v>
      </c>
      <c r="G33" s="7">
        <f>20-G32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IF(SUM(F2:G31)&lt;=20,0,SUM(F2:G31)-20)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6" priority="1">
      <formula>AND($A2&lt;&gt;"",$B2="휴일")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M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3"/>
      <c r="I7" s="33"/>
      <c r="J7" s="35"/>
      <c r="K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  <c r="M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43"/>
      <c r="I27" s="33"/>
      <c r="J27" s="35"/>
      <c r="K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43"/>
      <c r="I28" s="33"/>
      <c r="J28" s="35"/>
      <c r="K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O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6"/>
      <c r="J3" s="35"/>
      <c r="L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45"/>
      <c r="I11" s="33"/>
      <c r="J11" s="35"/>
      <c r="K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  <c r="O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45"/>
      <c r="I16" s="33"/>
      <c r="J16" s="35"/>
      <c r="K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45"/>
      <c r="I17" s="33"/>
      <c r="J17" s="35"/>
      <c r="K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45" t="s">
        <v>66</v>
      </c>
      <c r="I18" s="33"/>
      <c r="J18" s="35"/>
      <c r="K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45"/>
      <c r="I25" s="33"/>
      <c r="J25" s="35"/>
      <c r="K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I26" s="33"/>
      <c r="J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L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89</v>
      </c>
      <c r="L2" s="70">
        <f>'7월'!$E$33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90</v>
      </c>
      <c r="L3" s="70">
        <f>'8월'!$E$33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91</v>
      </c>
      <c r="L4" s="70">
        <f>'9월'!$E$32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 ((L1*60) - (L5*1440)) / 1440)</f>
        <v>7.375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7"/>
      <c r="I7" s="33"/>
      <c r="J7" s="35"/>
      <c r="K7" s="68" t="s">
        <v>85</v>
      </c>
      <c r="L7" s="69">
        <f>IF(SUM(L2:L4)&gt;(L1/24), (SUM(L2:L4)-(L1/24)), 0)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7"/>
      <c r="I8" s="33"/>
      <c r="J8" s="35"/>
      <c r="K8" s="23"/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8"/>
      <c r="I10" s="33"/>
      <c r="J10" s="35"/>
      <c r="K10" s="23"/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47"/>
      <c r="I14" s="33"/>
      <c r="J14" s="35"/>
      <c r="K14" s="23"/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47"/>
      <c r="I15" s="33"/>
      <c r="J15" s="35"/>
      <c r="K15" s="23"/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46"/>
      <c r="I17" s="33"/>
      <c r="J17" s="35"/>
      <c r="K17" s="23"/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46"/>
      <c r="I18" s="33"/>
      <c r="J18" s="35"/>
      <c r="K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46"/>
      <c r="I19" s="33"/>
      <c r="J19" s="35"/>
      <c r="K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46"/>
      <c r="I22" s="33"/>
      <c r="J22" s="35"/>
      <c r="K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69</v>
      </c>
      <c r="I26" s="33"/>
      <c r="J26" s="35"/>
      <c r="K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IF(SUM(F2:G31)&gt;=20,20,SUM(F2:G31))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1.9583333333333333</v>
      </c>
      <c r="F33" s="1" t="s">
        <v>6</v>
      </c>
      <c r="G33" s="7">
        <f>20-G32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IF(SUM(F2:G31)&lt;=20,0,SUM(F2:G31)-20)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3" priority="1">
      <formula>AND($A2&lt;&gt;"",$B2="휴일")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L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49"/>
      <c r="I4" s="33"/>
      <c r="J4" s="35"/>
      <c r="K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49"/>
      <c r="I5" s="33"/>
      <c r="J5" s="35"/>
      <c r="K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 t="s">
        <v>66</v>
      </c>
      <c r="I6" s="33"/>
      <c r="J6" s="35"/>
      <c r="K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9"/>
      <c r="I8" s="33"/>
      <c r="J8" s="35"/>
      <c r="K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49"/>
      <c r="I9" s="33"/>
      <c r="J9" s="35"/>
      <c r="K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9" t="s">
        <v>70</v>
      </c>
      <c r="I10" s="33"/>
      <c r="J10" s="35"/>
      <c r="K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49"/>
      <c r="I19" s="33"/>
      <c r="J19" s="35"/>
      <c r="K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49"/>
      <c r="I20" s="33"/>
      <c r="J20" s="35"/>
      <c r="K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L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54"/>
      <c r="L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50"/>
      <c r="I16" s="33"/>
      <c r="J16" s="35"/>
      <c r="K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50"/>
      <c r="I17" s="33"/>
      <c r="J17" s="35"/>
      <c r="K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51"/>
      <c r="I23" s="33"/>
      <c r="J23" s="35"/>
      <c r="K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50"/>
      <c r="I24" s="33"/>
      <c r="J24" s="35"/>
      <c r="K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0"/>
      <c r="I30" s="33"/>
      <c r="J30" s="35"/>
      <c r="K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50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IF(SUM(F2:G31)&gt;=20,20,SUM(F2:G31))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1.9583333333333333</v>
      </c>
      <c r="F33" s="1" t="s">
        <v>6</v>
      </c>
      <c r="G33" s="7">
        <f>20-G32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IF(SUM(F2:G31)&lt;=20,0,SUM(F2:G31)-20)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L37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AND(설정!$B$6="예",$B2="휴일"),IF(OR($C2="",$D2=""),0,MIN(TIME(4,0,0)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IF(VALUE(설정!$B$2)=4,4/24,IF(VALUE(설정!$B$2)=8,8/24,9999))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92</v>
      </c>
      <c r="L2" s="70">
        <f>'10월'!$E$33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AND(설정!$B$6="예",$B3="휴일"),IF(OR($C3="",$D3=""),0,MIN(TIME(4,0,0)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IF(VALUE(설정!$B$2)=4,4/24,IF(VALUE(설정!$B$2)=8,8/24,9999))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K3" s="63" t="s">
        <v>93</v>
      </c>
      <c r="L3" s="70">
        <f>'11월'!$E$32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AND(설정!$B$6="예",$B4="휴일"),IF(OR($C4="",$D4=""),0,MIN(TIME(4,0,0)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IF(VALUE(설정!$B$2)=4,4/24,IF(VALUE(설정!$B$2)=8,8/24,9999))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94</v>
      </c>
      <c r="L4" s="70">
        <f>'12월'!$E$33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AND(설정!$B$6="예",$B5="휴일"),IF(OR($C5="",$D5=""),0,MIN(TIME(4,0,0)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IF(VALUE(설정!$B$2)=4,4/24,IF(VALUE(설정!$B$2)=8,8/24,9999))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AND(설정!$B$6="예",$B6="휴일"),IF(OR($C6="",$D6=""),0,MIN(TIME(4,0,0)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IF(VALUE(설정!$B$2)=4,4/24,IF(VALUE(설정!$B$2)=8,8/24,9999))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 ((L1*60) - (L5*1440)) / 1440)</f>
        <v>7.375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AND(설정!$B$6="예",$B7="휴일"),IF(OR($C7="",$D7=""),0,MIN(TIME(4,0,0)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IF(VALUE(설정!$B$2)=4,4/24,IF(VALUE(설정!$B$2)=8,8/24,9999))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IF(SUM(L2:L4)&gt;(L1/24), (SUM(L2:L4)-(L1/24)), 0)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AND(설정!$B$6="예",$B8="휴일"),IF(OR($C8="",$D8=""),0,MIN(TIME(4,0,0)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IF(VALUE(설정!$B$2)=4,4/24,IF(VALUE(설정!$B$2)=8,8/24,9999))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AND(설정!$B$6="예",$B9="휴일"),IF(OR($C9="",$D9=""),0,MIN(TIME(4,0,0)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IF(VALUE(설정!$B$2)=4,4/24,IF(VALUE(설정!$B$2)=8,8/24,9999))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AND(설정!$B$6="예",$B10="휴일"),IF(OR($C10="",$D10=""),0,MIN(TIME(4,0,0)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IF(VALUE(설정!$B$2)=4,4/24,IF(VALUE(설정!$B$2)=8,8/24,9999))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AND(설정!$B$6="예",$B11="휴일"),IF(OR($C11="",$D11=""),0,MIN(TIME(4,0,0)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IF(VALUE(설정!$B$2)=4,4/24,IF(VALUE(설정!$B$2)=8,8/24,9999))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AND(설정!$B$6="예",$B12="휴일"),IF(OR($C12="",$D12=""),0,MIN(TIME(4,0,0)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IF(VALUE(설정!$B$2)=4,4/24,IF(VALUE(설정!$B$2)=8,8/24,9999))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AND(설정!$B$6="예",$B13="휴일"),IF(OR($C13="",$D13=""),0,MIN(TIME(4,0,0)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IF(VALUE(설정!$B$2)=4,4/24,IF(VALUE(설정!$B$2)=8,8/24,9999))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AND(설정!$B$6="예",$B14="휴일"),IF(OR($C14="",$D14=""),0,MIN(TIME(4,0,0)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IF(VALUE(설정!$B$2)=4,4/24,IF(VALUE(설정!$B$2)=8,8/24,9999))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AND(설정!$B$6="예",$B15="휴일"),IF(OR($C15="",$D15=""),0,MIN(TIME(4,0,0)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IF(VALUE(설정!$B$2)=4,4/24,IF(VALUE(설정!$B$2)=8,8/24,9999))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AND(설정!$B$6="예",$B16="휴일"),IF(OR($C16="",$D16=""),0,MIN(TIME(4,0,0)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IF(VALUE(설정!$B$2)=4,4/24,IF(VALUE(설정!$B$2)=8,8/24,9999))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AND(설정!$B$6="예",$B17="휴일"),IF(OR($C17="",$D17=""),0,MIN(TIME(4,0,0)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IF(VALUE(설정!$B$2)=4,4/24,IF(VALUE(설정!$B$2)=8,8/24,9999))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AND(설정!$B$6="예",$B18="휴일"),IF(OR($C18="",$D18=""),0,MIN(TIME(4,0,0)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IF(VALUE(설정!$B$2)=4,4/24,IF(VALUE(설정!$B$2)=8,8/24,9999))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AND(설정!$B$6="예",$B19="휴일"),IF(OR($C19="",$D19=""),0,MIN(TIME(4,0,0)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IF(VALUE(설정!$B$2)=4,4/24,IF(VALUE(설정!$B$2)=8,8/24,9999))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AND(설정!$B$6="예",$B20="휴일"),IF(OR($C20="",$D20=""),0,MIN(TIME(4,0,0)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IF(VALUE(설정!$B$2)=4,4/24,IF(VALUE(설정!$B$2)=8,8/24,9999))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AND(설정!$B$6="예",$B21="휴일"),IF(OR($C21="",$D21=""),0,MIN(TIME(4,0,0)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IF(VALUE(설정!$B$2)=4,4/24,IF(VALUE(설정!$B$2)=8,8/24,9999))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AND(설정!$B$6="예",$B22="휴일"),IF(OR($C22="",$D22=""),0,MIN(TIME(4,0,0)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IF(VALUE(설정!$B$2)=4,4/24,IF(VALUE(설정!$B$2)=8,8/24,9999))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AND(설정!$B$6="예",$B23="휴일"),IF(OR($C23="",$D23=""),0,MIN(TIME(4,0,0)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IF(VALUE(설정!$B$2)=4,4/24,IF(VALUE(설정!$B$2)=8,8/24,9999))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AND(설정!$B$6="예",$B24="휴일"),IF(OR($C24="",$D24=""),0,MIN(TIME(4,0,0)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IF(VALUE(설정!$B$2)=4,4/24,IF(VALUE(설정!$B$2)=8,8/24,9999))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AND(설정!$B$6="예",$B25="휴일"),IF(OR($C25="",$D25=""),0,MIN(TIME(4,0,0)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IF(VALUE(설정!$B$2)=4,4/24,IF(VALUE(설정!$B$2)=8,8/24,9999))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AND(설정!$B$6="예",$B26="휴일"),IF(OR($C26="",$D26=""),0,MIN(TIME(4,0,0)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IF(VALUE(설정!$B$2)=4,4/24,IF(VALUE(설정!$B$2)=8,8/24,9999))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71</v>
      </c>
      <c r="I26" s="33"/>
      <c r="J26" s="35"/>
      <c r="K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AND(설정!$B$6="예",$B27="휴일"),IF(OR($C27="",$D27=""),0,MIN(TIME(4,0,0)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IF(VALUE(설정!$B$2)=4,4/24,IF(VALUE(설정!$B$2)=8,8/24,9999))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AND(설정!$B$6="예",$B28="휴일"),IF(OR($C28="",$D28=""),0,MIN(TIME(4,0,0)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IF(VALUE(설정!$B$2)=4,4/24,IF(VALUE(설정!$B$2)=8,8/24,9999))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AND(설정!$B$6="예",$B29="휴일"),IF(OR($C29="",$D29=""),0,MIN(TIME(4,0,0)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IF(VALUE(설정!$B$2)=4,4/24,IF(VALUE(설정!$B$2)=8,8/24,9999))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AND(설정!$B$6="예",$B30="휴일"),IF(OR($C30="",$D30=""),0,MIN(TIME(4,0,0)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IF(VALUE(설정!$B$2)=4,4/24,IF(VALUE(설정!$B$2)=8,8/24,9999))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AND(설정!$B$6="예",$B31="휴일"),IF(OR($C31="",$D31=""),0,MIN(TIME(4,0,0)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IF(VALUE(설정!$B$2)=4,4/24,IF(VALUE(설정!$B$2)=8,8/24,9999))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AND(설정!$B$6="예",$B32="휴일"),IF(OR($C32="",$D32=""),0,MIN(TIME(4,0,0)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IF(VALUE(설정!$B$2)=4,4/24,IF(VALUE(설정!$B$2)=8,8/24,9999))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IF(SUM(F2:G32)&gt;=20,20,SUM(F2:G32))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1.9583333333333333</v>
      </c>
      <c r="F34" s="1" t="s">
        <v>6</v>
      </c>
      <c r="G34" s="7">
        <f>20-G33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IF(SUM(F2:G32)&lt;=20,0,SUM(F2:G32)-20)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0" priority="1">
      <formula>AND($A2&lt;&gt;"",$B2="휴일")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I1:I1048576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2026-06-26T08:27:10Z</dcterms:modified>
</cp:coreProperties>
</file>